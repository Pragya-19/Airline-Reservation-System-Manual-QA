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Default Extension="rels" ContentType="application/vnd.openxmlformats-package.relationships+xml"/>
  <Default Extension="xml" ContentType="application/xml"/>
  <Override PartName="/xl/workbook.xml" ContentType="application/vnd.openxmlformats-officedocument.spreadsheetml.sheet.main+xml"/>
  <Override PartName="/xl/charts/chart1.xml" ContentType="application/vnd.openxmlformats-officedocument.drawingml.char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bookViews>
    <workbookView xWindow="204" yWindow="588" windowWidth="22716" windowHeight="8676"/>
  </bookViews>
  <sheets>
    <sheet name="Test Cases" sheetId="1" r:id="rId1"/>
    <sheet name="Coverage Summary" sheetId="2" r:id="rId2"/>
    <sheet name="Lists" sheetId="3" r:id="rId3"/>
  </sheets>
  <calcPr calcId="125725"/>
</workbook>
</file>

<file path=xl/calcChain.xml><?xml version="1.0" encoding="utf-8"?>
<calcChain xmlns="http://schemas.openxmlformats.org/spreadsheetml/2006/main">
  <c r="E11" i="2"/>
  <c r="F11" s="1"/>
  <c r="E10"/>
  <c r="F10" s="1"/>
  <c r="E9"/>
  <c r="E8"/>
  <c r="B8"/>
  <c r="E7"/>
  <c r="F7" s="1"/>
  <c r="B7"/>
  <c r="E6"/>
  <c r="B6"/>
  <c r="F5"/>
  <c r="E5"/>
  <c r="B5"/>
  <c r="F4"/>
  <c r="E4"/>
  <c r="B4"/>
  <c r="F9" l="1"/>
  <c r="F6"/>
  <c r="F8"/>
</calcChain>
</file>

<file path=xl/sharedStrings.xml><?xml version="1.0" encoding="utf-8"?>
<sst xmlns="http://schemas.openxmlformats.org/spreadsheetml/2006/main" count="543" uniqueCount="373">
  <si>
    <t>Test Case ID</t>
  </si>
  <si>
    <t>Requirement ID</t>
  </si>
  <si>
    <t>Scenario ID</t>
  </si>
  <si>
    <t>Module</t>
  </si>
  <si>
    <t>Title</t>
  </si>
  <si>
    <t>Preconditions</t>
  </si>
  <si>
    <t>Test Data</t>
  </si>
  <si>
    <t>Steps</t>
  </si>
  <si>
    <t>Expected Result</t>
  </si>
  <si>
    <t>Priority</t>
  </si>
  <si>
    <t>Test Type</t>
  </si>
  <si>
    <t>Execution Status</t>
  </si>
  <si>
    <t>Actual Result</t>
  </si>
  <si>
    <t>Defect ID</t>
  </si>
  <si>
    <t>Evidence / Screenshot</t>
  </si>
  <si>
    <t>TC_FS_001</t>
  </si>
  <si>
    <t>REQ-FS-001</t>
  </si>
  <si>
    <t>TS_FS_001</t>
  </si>
  <si>
    <t>Flight Search</t>
  </si>
  <si>
    <t>Verify successful flight search using valid mandatory search criteria</t>
  </si>
  <si>
    <t>User has access to the flight search page.</t>
  </si>
  <si>
    <t>Valid origin; valid destination; supported future date; 1 Adult</t>
  </si>
  <si>
    <t>1. Open flight search page
2. Enter valid origin
3. Enter valid destination
4. Select a supported future date
5. Select 1 Adult
6. Click Search</t>
  </si>
  <si>
    <t>Available flights matching the selected search criteria should be displayed.</t>
  </si>
  <si>
    <t>High</t>
  </si>
  <si>
    <t>Positive</t>
  </si>
  <si>
    <t>Not Executed</t>
  </si>
  <si>
    <t>TC_FS_002</t>
  </si>
  <si>
    <t>REQ-FS-002</t>
  </si>
  <si>
    <t>TS_FS_002</t>
  </si>
  <si>
    <t>Verify flight search is prevented when origin and destination are the same</t>
  </si>
  <si>
    <t>User is on the flight search page.</t>
  </si>
  <si>
    <t>Origin = same as Destination</t>
  </si>
  <si>
    <t>1. Select an origin
2. Select the same location as destination
3. Attempt to search</t>
  </si>
  <si>
    <t>The system should prevent the search and show appropriate validation or block the invalid combination.</t>
  </si>
  <si>
    <t>Negative</t>
  </si>
  <si>
    <t>TC_FS_003</t>
  </si>
  <si>
    <t>REQ-FS-003</t>
  </si>
  <si>
    <t>TS_FS_003</t>
  </si>
  <si>
    <t>Verify past departure date is prevented or appropriately handled</t>
  </si>
  <si>
    <t>Departure date = past date</t>
  </si>
  <si>
    <t>1. Enter valid origin and destination
2. Attempt to select/enter a past departure date
3. Attempt to search</t>
  </si>
  <si>
    <t>Past travel date should not be accepted; the system should prevent submission or show appropriate validation.</t>
  </si>
  <si>
    <t>TC_FS_004</t>
  </si>
  <si>
    <t>REQ-FS-004</t>
  </si>
  <si>
    <t>TS_FS_004</t>
  </si>
  <si>
    <t>Verify infant cannot be selected without an accompanying adult</t>
  </si>
  <si>
    <t>Passenger selector is available.</t>
  </si>
  <si>
    <t>Adult = 0; Infant = 1</t>
  </si>
  <si>
    <t>1. Open passenger selector
2. Set adult count to 0 if permitted
3. Attempt to select 1 infant
4. Continue/search</t>
  </si>
  <si>
    <t>The system should prevent an infant-only passenger combination or display appropriate validation.</t>
  </si>
  <si>
    <t>Business Rule</t>
  </si>
  <si>
    <t>TC_FS_005</t>
  </si>
  <si>
    <t>TS_FS_005</t>
  </si>
  <si>
    <t>Verify search is prevented when destination is blank</t>
  </si>
  <si>
    <t>Valid origin; destination blank; supported future date</t>
  </si>
  <si>
    <t>1. Enter a valid origin
2. Leave destination blank
3. Complete remaining mandatory fields
4. Click Search</t>
  </si>
  <si>
    <t>The system should prevent search and indicate that destination is required.</t>
  </si>
  <si>
    <t>TC_FS_006</t>
  </si>
  <si>
    <t>REQ-FS-005</t>
  </si>
  <si>
    <t>TS_FS_006</t>
  </si>
  <si>
    <t>Verify search results match the selected origin and destination</t>
  </si>
  <si>
    <t>A valid flight search can be submitted.</t>
  </si>
  <si>
    <t>Valid route supported by SUT</t>
  </si>
  <si>
    <t>1. Search using valid origin and destination
2. Review returned flight cards/results</t>
  </si>
  <si>
    <t>Every displayed result should correspond to the selected route or clearly documented connecting itinerary.</t>
  </si>
  <si>
    <t>Functional</t>
  </si>
  <si>
    <t>TC_FS_007</t>
  </si>
  <si>
    <t>TS_FS_007</t>
  </si>
  <si>
    <t>Verify search results correspond to the selected travel date</t>
  </si>
  <si>
    <t>Supported future date</t>
  </si>
  <si>
    <t>1. Search for a supported route on a future date
2. Review returned results</t>
  </si>
  <si>
    <t>Displayed results should correspond to the selected travel date, subject to itinerary rules shown by the system.</t>
  </si>
  <si>
    <t>TC_FS_008</t>
  </si>
  <si>
    <t>TS_FS_008</t>
  </si>
  <si>
    <t>Verify system behavior when no flights are available</t>
  </si>
  <si>
    <t>User can submit a valid search.</t>
  </si>
  <si>
    <t>Route/date combination with no inventory, where reproducible</t>
  </si>
  <si>
    <t>1. Enter valid search criteria that return no inventory
2. Click Search</t>
  </si>
  <si>
    <t>The system should show a clear no-results state and should not display unrelated flight inventory.</t>
  </si>
  <si>
    <t>Medium</t>
  </si>
  <si>
    <t>TC_FARE_001</t>
  </si>
  <si>
    <t>REQ-FARE-001</t>
  </si>
  <si>
    <t>TS_FARE_001</t>
  </si>
  <si>
    <t>Fare</t>
  </si>
  <si>
    <t>Verify fare is displayed for a selected flight</t>
  </si>
  <si>
    <t>Flight search returns at least one result.</t>
  </si>
  <si>
    <t>Any available result</t>
  </si>
  <si>
    <t>1. Perform a valid flight search
2. Review fare shown for an available flight</t>
  </si>
  <si>
    <t>A fare should be visible for the selectable flight/fare option.</t>
  </si>
  <si>
    <t>TC_FARE_002</t>
  </si>
  <si>
    <t>REQ-FARE-002</t>
  </si>
  <si>
    <t>TS_FARE_002</t>
  </si>
  <si>
    <t>Verify total fare calculation includes applicable components correctly</t>
  </si>
  <si>
    <t>Fare breakdown is available.</t>
  </si>
  <si>
    <t>Base fare, taxes/fees, optional ancillaries where supported</t>
  </si>
  <si>
    <t>1. Select a flight
2. Review fare breakdown
3. Calculate displayed components
4. Compare with total payable amount</t>
  </si>
  <si>
    <t>Total payable amount should equal the sum of applicable fare components minus valid discounts.</t>
  </si>
  <si>
    <t>TC_FARE_003</t>
  </si>
  <si>
    <t>REQ-FARE-003</t>
  </si>
  <si>
    <t>TS_FARE_003</t>
  </si>
  <si>
    <t>Verify total fare recalculates when passenger count changes</t>
  </si>
  <si>
    <t>Passenger count can be modified before payment.</t>
  </si>
  <si>
    <t>1 Adult then 2 Adults, where supported</t>
  </si>
  <si>
    <t>1. Search/select a flight for 1 adult
2. Note total fare
3. Change passenger count to 2 adults
4. Recheck total fare</t>
  </si>
  <si>
    <t>Fare should be recalculated according to the updated passenger count and applicable pricing rules.</t>
  </si>
  <si>
    <t>TC_FARE_004</t>
  </si>
  <si>
    <t>REQ-FARE-004</t>
  </si>
  <si>
    <t>TS_FARE_005</t>
  </si>
  <si>
    <t>Verify fare remains consistent from selection to booking review</t>
  </si>
  <si>
    <t>User can continue from flight selection to review.</t>
  </si>
  <si>
    <t>Selected flight/fare</t>
  </si>
  <si>
    <t>1. Note fare at flight selection
2. Continue to review page
3. Compare fare values</t>
  </si>
  <si>
    <t>Fare should remain consistent unless a change is explicitly communicated before continuation/payment.</t>
  </si>
  <si>
    <t>Regression</t>
  </si>
  <si>
    <t>TC_FARE_005</t>
  </si>
  <si>
    <t>TS_FARE_007</t>
  </si>
  <si>
    <t>Verify final payable amount displayed before payment is correct</t>
  </si>
  <si>
    <t>User has reached payment review.</t>
  </si>
  <si>
    <t>Booking with fare components displayed</t>
  </si>
  <si>
    <t>1. Review final payable amount
2. Compare with previously displayed fare breakdown</t>
  </si>
  <si>
    <t>The final amount should match the correctly calculated booking total.</t>
  </si>
  <si>
    <t>TC_PAX_001</t>
  </si>
  <si>
    <t>REQ-PAX-001</t>
  </si>
  <si>
    <t>TS_PAX_001</t>
  </si>
  <si>
    <t>Passenger</t>
  </si>
  <si>
    <t>Verify valid passenger details are accepted</t>
  </si>
  <si>
    <t>A flight/fare has been selected.</t>
  </si>
  <si>
    <t>Valid passenger details supported by SUT</t>
  </si>
  <si>
    <t>1. Enter valid passenger details
2. Continue to next step</t>
  </si>
  <si>
    <t>Valid passenger details should be accepted and user should be able to continue.</t>
  </si>
  <si>
    <t>TC_PAX_002</t>
  </si>
  <si>
    <t>TS_PAX_002</t>
  </si>
  <si>
    <t>Verify mandatory passenger fields cannot be left blank</t>
  </si>
  <si>
    <t>Passenger details page is displayed.</t>
  </si>
  <si>
    <t>Leave one mandatory field blank</t>
  </si>
  <si>
    <t>1. Leave a mandatory passenger field blank
2. Complete other required fields
3. Attempt to continue</t>
  </si>
  <si>
    <t>The system should prevent continuation and identify the missing mandatory information.</t>
  </si>
  <si>
    <t>TC_PAX_003</t>
  </si>
  <si>
    <t>REQ-PAX-002</t>
  </si>
  <si>
    <t>TS_PAX_003</t>
  </si>
  <si>
    <t>Verify passenger name length boundary handling</t>
  </si>
  <si>
    <t>Name at supported maximum length and one character beyond, where limit is known</t>
  </si>
  <si>
    <t>1. Enter a name at the documented/observed maximum
2. Attempt to continue
3. Repeat with value exceeding the limit</t>
  </si>
  <si>
    <t>Boundary value should be handled according to the field rules; unsupported excessive input should not silently corrupt data.</t>
  </si>
  <si>
    <t>Boundary</t>
  </si>
  <si>
    <t>TC_PAX_004</t>
  </si>
  <si>
    <t>REQ-PAX-004</t>
  </si>
  <si>
    <t>TS_PAX_004</t>
  </si>
  <si>
    <t>Verify duplicate passenger details are appropriately handled</t>
  </si>
  <si>
    <t>Booking supports more than one passenger.</t>
  </si>
  <si>
    <t>Two passenger entries with identical details</t>
  </si>
  <si>
    <t>1. Add multiple passengers
2. Enter identical details for two passengers
3. Attempt to continue</t>
  </si>
  <si>
    <t>The system should handle duplicate passenger details according to the defined business rule and should not create ambiguous traveler records.</t>
  </si>
  <si>
    <t>TC_PAX_005</t>
  </si>
  <si>
    <t>REQ-PAX-003</t>
  </si>
  <si>
    <t>TS_PAX_005</t>
  </si>
  <si>
    <t>Verify supported passenger categories are handled correctly</t>
  </si>
  <si>
    <t>Passenger selector/details supports passenger types.</t>
  </si>
  <si>
    <t>Adult/Child/Infant where supported</t>
  </si>
  <si>
    <t>1. Select each supported passenger type in valid combinations
2. Continue through passenger entry</t>
  </si>
  <si>
    <t>The system should apply the appropriate validation and pricing rules for each supported passenger type.</t>
  </si>
  <si>
    <t>TC_PAY_001</t>
  </si>
  <si>
    <t>REQ-PAY-001</t>
  </si>
  <si>
    <t>TS_PAY_001</t>
  </si>
  <si>
    <t>Payment</t>
  </si>
  <si>
    <t>Verify successful payment using a supported test payment method</t>
  </si>
  <si>
    <t>Booking is ready for payment; sandbox/test payment method is available.</t>
  </si>
  <si>
    <t>Supported sandbox/test payment data</t>
  </si>
  <si>
    <t>1. Proceed to payment
2. Select a supported test payment method
3. Enter valid test details
4. Submit payment</t>
  </si>
  <si>
    <t>Payment should complete successfully and transaction/booking status should update appropriately.</t>
  </si>
  <si>
    <t>Critical</t>
  </si>
  <si>
    <t>TC_PAY_002</t>
  </si>
  <si>
    <t>REQ-PAY-002</t>
  </si>
  <si>
    <t>TS_PAY_002</t>
  </si>
  <si>
    <t>Verify failed payment does not create a successfully paid booking</t>
  </si>
  <si>
    <t>Booking is ready for payment.</t>
  </si>
  <si>
    <t>Sandbox/test data that produces failure, if supported</t>
  </si>
  <si>
    <t>1. Submit a payment designed to fail
2. Review payment and booking status</t>
  </si>
  <si>
    <t>Payment should be marked failed/unsuccessful and booking should not be incorrectly marked as successfully paid.</t>
  </si>
  <si>
    <t>TC_PAY_003</t>
  </si>
  <si>
    <t>REQ-PAY-003</t>
  </si>
  <si>
    <t>TS_PAY_003</t>
  </si>
  <si>
    <t>Verify repeated payment submission does not create duplicate charges</t>
  </si>
  <si>
    <t>Same payment attempt submitted repeatedly where safe/test-mode</t>
  </si>
  <si>
    <t>1. Submit payment
2. Repeat/click submit again during processing where reproducible
3. Review transaction outcome</t>
  </si>
  <si>
    <t>Only one charge/transaction side effect should be created for the booking.</t>
  </si>
  <si>
    <t>Risk-Based</t>
  </si>
  <si>
    <t>TC_PAY_004</t>
  </si>
  <si>
    <t>TS_PAY_004</t>
  </si>
  <si>
    <t>Verify repeated payment submission does not create duplicate bookings</t>
  </si>
  <si>
    <t>Same booking/payment request</t>
  </si>
  <si>
    <t>1. Submit payment repeatedly where safe/test-mode
2. Review resulting booking records</t>
  </si>
  <si>
    <t>Only one logical booking should be created for the same successful transaction/request.</t>
  </si>
  <si>
    <t>TC_PAY_005</t>
  </si>
  <si>
    <t>REQ-PAY-004</t>
  </si>
  <si>
    <t>TS_PAY_005</t>
  </si>
  <si>
    <t>Verify payment timeout is handled safely</t>
  </si>
  <si>
    <t>Timeout can be simulated or tested at design level if not supported by SUT.</t>
  </si>
  <si>
    <t>Payment request timeout scenario</t>
  </si>
  <si>
    <t>1. Initiate payment
2. Simulate/observe timeout where supported
3. Check UI status and retry behavior</t>
  </si>
  <si>
    <t>The user should not receive a misleading success/failure state and retry should not cause duplicate payment/booking side effects.</t>
  </si>
  <si>
    <t>TC_PAY_006</t>
  </si>
  <si>
    <t>REQ-PAY-005</t>
  </si>
  <si>
    <t>TS_PAY_006</t>
  </si>
  <si>
    <t>Verify charged amount matches final payable booking amount</t>
  </si>
  <si>
    <t>Booking has a known final payable amount.</t>
  </si>
  <si>
    <t>Final amount from review page</t>
  </si>
  <si>
    <t>1. Note final payable amount
2. Complete test payment
3. Compare transaction amount with booking amount</t>
  </si>
  <si>
    <t>Transaction amount should match the final payable booking amount.</t>
  </si>
  <si>
    <t>TC_PAY_007</t>
  </si>
  <si>
    <t>TS_PAY_009</t>
  </si>
  <si>
    <t>Verify handling when payment succeeds but booking/PNR generation fails</t>
  </si>
  <si>
    <t>Scenario can be simulated at design level if not reproducible in demo.</t>
  </si>
  <si>
    <t>Successful payment + downstream booking/PNR failure</t>
  </si>
  <si>
    <t>1. Record payment transaction reference
2. Observe/simulate downstream booking failure
3. Check booking/PNR status
4. Check retry/reversal/recovery behavior</t>
  </si>
  <si>
    <t>System should prevent duplicate transactions and provide safe reconciliation, retry, reversal, or recovery behavior.</t>
  </si>
  <si>
    <t>Integration</t>
  </si>
  <si>
    <t>TC_PNR_001</t>
  </si>
  <si>
    <t>REQ-PNR-001</t>
  </si>
  <si>
    <t>TS_PNR_001</t>
  </si>
  <si>
    <t>Booking / PNR</t>
  </si>
  <si>
    <t>Verify successful booking creates a booking record</t>
  </si>
  <si>
    <t>Payment/booking prerequisites are satisfied.</t>
  </si>
  <si>
    <t>Valid completed booking flow</t>
  </si>
  <si>
    <t>1. Complete valid booking flow
2. Review confirmation</t>
  </si>
  <si>
    <t>A booking record/reference should be created after successful booking completion.</t>
  </si>
  <si>
    <t>TC_PNR_002</t>
  </si>
  <si>
    <t>REQ-PNR-002</t>
  </si>
  <si>
    <t>TS_PNR_002</t>
  </si>
  <si>
    <t>Verify successful booking generates a non-null non-empty PNR</t>
  </si>
  <si>
    <t>A booking completes successfully.</t>
  </si>
  <si>
    <t>Successful booking</t>
  </si>
  <si>
    <t>1. Complete booking
2. Inspect confirmation/reference details</t>
  </si>
  <si>
    <t>A valid PNR/booking reference should be present and should not be null or empty.</t>
  </si>
  <si>
    <t>TC_PNR_003</t>
  </si>
  <si>
    <t>REQ-PNR-003</t>
  </si>
  <si>
    <t>TS_PNR_003</t>
  </si>
  <si>
    <t>Verify passenger details stored in booking are correct</t>
  </si>
  <si>
    <t>A booking has been created.</t>
  </si>
  <si>
    <t>Known passenger test data</t>
  </si>
  <si>
    <t>1. Complete booking using known passenger data
2. Retrieve/review booking
3. Compare passenger details</t>
  </si>
  <si>
    <t>Stored/displayed passenger details should match the data entered during booking.</t>
  </si>
  <si>
    <t>TC_PNR_004</t>
  </si>
  <si>
    <t>TS_PNR_004</t>
  </si>
  <si>
    <t>Verify itinerary details stored in booking are correct</t>
  </si>
  <si>
    <t>Known origin/destination/date/flight</t>
  </si>
  <si>
    <t>1. Complete booking
2. Retrieve/review booking
3. Compare itinerary with selected flight</t>
  </si>
  <si>
    <t>Booking itinerary should match the selected route, date, and flight/segment information.</t>
  </si>
  <si>
    <t>TC_PNR_005</t>
  </si>
  <si>
    <t>TS_PNR_005</t>
  </si>
  <si>
    <t>Verify fare stored in booking matches final payable amount</t>
  </si>
  <si>
    <t>Known final payable amount</t>
  </si>
  <si>
    <t>1. Note final payable amount
2. Complete booking
3. Retrieve/review booking fare</t>
  </si>
  <si>
    <t>Stored booking fare should match the final payable amount, subject to any clearly disclosed post-booking charges.</t>
  </si>
  <si>
    <t>TC_PNR_006</t>
  </si>
  <si>
    <t>REQ-PNR-004</t>
  </si>
  <si>
    <t>TS_PNR_007</t>
  </si>
  <si>
    <t>Verify booking can be retrieved using supported booking reference/PNR</t>
  </si>
  <si>
    <t>A valid booking/reference exists.</t>
  </si>
  <si>
    <t>Valid PNR/booking reference</t>
  </si>
  <si>
    <t>1. Open manage/retrieve booking function
2. Enter valid reference and any required verification data
3. Submit</t>
  </si>
  <si>
    <t>The correct booking should be retrieved.</t>
  </si>
  <si>
    <t>TC_CAN_001</t>
  </si>
  <si>
    <t>REQ-CAN-001</t>
  </si>
  <si>
    <t>TS_CAN_001</t>
  </si>
  <si>
    <t>Cancellation</t>
  </si>
  <si>
    <t>Verify eligible confirmed booking can be cancelled</t>
  </si>
  <si>
    <t>A cancellable confirmed booking exists.</t>
  </si>
  <si>
    <t>Eligible booking</t>
  </si>
  <si>
    <t>1. Retrieve eligible booking
2. Start cancellation
3. Confirm cancellation</t>
  </si>
  <si>
    <t>Cancellation should complete according to booking rules and confirmation should be shown.</t>
  </si>
  <si>
    <t>TC_CAN_002</t>
  </si>
  <si>
    <t>REQ-CAN-002</t>
  </si>
  <si>
    <t>TS_CAN_002</t>
  </si>
  <si>
    <t>Verify booking status updates after successful cancellation</t>
  </si>
  <si>
    <t>A booking has just been cancelled.</t>
  </si>
  <si>
    <t>Cancelled booking reference</t>
  </si>
  <si>
    <t>1. Retrieve the cancelled booking
2. Review booking status</t>
  </si>
  <si>
    <t>Booking status should reflect cancellation consistently across relevant views.</t>
  </si>
  <si>
    <t>TC_CAN_003</t>
  </si>
  <si>
    <t>TS_CAN_003</t>
  </si>
  <si>
    <t>Verify ineligible booking cannot be cancelled</t>
  </si>
  <si>
    <t>An ineligible/non-cancellable booking exists or scenario is simulated.</t>
  </si>
  <si>
    <t>Ineligible booking</t>
  </si>
  <si>
    <t>1. Retrieve ineligible booking
2. Attempt cancellation</t>
  </si>
  <si>
    <t>The system should block cancellation and clearly communicate the applicable restriction.</t>
  </si>
  <si>
    <t>TC_REF_001</t>
  </si>
  <si>
    <t>REQ-REF-001</t>
  </si>
  <si>
    <t>TS_REF_001</t>
  </si>
  <si>
    <t>Refund</t>
  </si>
  <si>
    <t>Verify eligible cancelled booking initiates refund correctly</t>
  </si>
  <si>
    <t>A refundable cancelled booking exists.</t>
  </si>
  <si>
    <t>Refund-eligible booking</t>
  </si>
  <si>
    <t>1. Cancel/retrieve eligible booking
2. Initiate or observe refund process</t>
  </si>
  <si>
    <t>Refund should be initiated according to the applicable cancellation/fare rules.</t>
  </si>
  <si>
    <t>TC_REF_002</t>
  </si>
  <si>
    <t>TS_REF_002</t>
  </si>
  <si>
    <t>Verify refundable amount is calculated correctly</t>
  </si>
  <si>
    <t>Refund calculation is displayed or available.</t>
  </si>
  <si>
    <t>Known paid amount and applicable fees/rules</t>
  </si>
  <si>
    <t>1. Determine amount paid
2. Apply displayed/documented cancellation deductions
3. Compare expected and displayed refund</t>
  </si>
  <si>
    <t>Refundable amount should match the applicable fare/cancellation rules.</t>
  </si>
  <si>
    <t>TC_E2E_001</t>
  </si>
  <si>
    <t>TS_E2E_001</t>
  </si>
  <si>
    <t>End-to-End</t>
  </si>
  <si>
    <t>Verify successful end-to-end booking from search to PNR generation</t>
  </si>
  <si>
    <t>Test-mode booking flow is available.</t>
  </si>
  <si>
    <t>Valid search, passenger and test payment data</t>
  </si>
  <si>
    <t>1. Search flight
2. Select fare
3. Enter passenger details
4. Complete test payment
5. Review confirmation/PNR</t>
  </si>
  <si>
    <t>The entire flow should complete with consistent itinerary, passenger, fare, payment and booking information.</t>
  </si>
  <si>
    <t>TC_E2E_002</t>
  </si>
  <si>
    <t>TS_E2E_003</t>
  </si>
  <si>
    <t>Verify payment retry after timeout does not create duplicate charge or booking</t>
  </si>
  <si>
    <t>Scenario can be simulated safely or maintained as a design-level case.</t>
  </si>
  <si>
    <t>Payment timeout followed by retry</t>
  </si>
  <si>
    <t>1. Initiate payment
2. Simulate/observe timeout
3. Retry same transaction
4. Inspect payment and booking outcomes</t>
  </si>
  <si>
    <t>Retry should be idempotent or otherwise safely handled so that duplicate charges/bookings are not created.</t>
  </si>
  <si>
    <t>TC_E2E_003</t>
  </si>
  <si>
    <t>TS_E2E_004</t>
  </si>
  <si>
    <t>Verify fare consistency across search, review and payment</t>
  </si>
  <si>
    <t>Valid booking flow is available.</t>
  </si>
  <si>
    <t>Known selected fare</t>
  </si>
  <si>
    <t>1. Note fare at selection
2. Continue to review
3. Note final payable amount
4. Compare before payment</t>
  </si>
  <si>
    <t>Fare should remain consistent unless a change is explicitly disclosed and accepted by the user.</t>
  </si>
  <si>
    <t>Airline Manual QA - Test Case Coverage Summary</t>
  </si>
  <si>
    <t>Metric</t>
  </si>
  <si>
    <t>Value</t>
  </si>
  <si>
    <t>Count</t>
  </si>
  <si>
    <t>% of Total</t>
  </si>
  <si>
    <t>Total Test Cases</t>
  </si>
  <si>
    <t>Critical Priority</t>
  </si>
  <si>
    <t>High Priority</t>
  </si>
  <si>
    <t>Passed</t>
  </si>
  <si>
    <t>Failed</t>
  </si>
  <si>
    <t>Field</t>
  </si>
  <si>
    <t>Allowed Values / Notes</t>
  </si>
  <si>
    <t>Critical, High, Medium, Low</t>
  </si>
  <si>
    <t>Not Executed, Passed, Failed, Blocked, Not Applicable</t>
  </si>
  <si>
    <t>Positive, Negative, Boundary, Functional, Business Rule, Regression, Risk-Based, Integration, End-to-End</t>
  </si>
  <si>
    <t>Execution Note</t>
  </si>
  <si>
    <t>All rows start as Not Executed. Update only after real execution.</t>
  </si>
  <si>
    <t>Evidence</t>
  </si>
  <si>
    <t>Add screenshot filename/path only when evidence exists.</t>
  </si>
  <si>
    <t>Project Basis</t>
  </si>
  <si>
    <t>Design is based on the portfolio requirements. Update test data/results based on actual SUT behavior.</t>
  </si>
  <si>
    <t>Past departure dates are disabled in the date picker and cannot be selected. The system allows only the current/supported future travel dates.</t>
  </si>
  <si>
    <t>The system allowed the user to search with the same origin and destination (DEL → DEL) and navigated to the results page showing 0 flights instead of preventing the invalid search combination.</t>
  </si>
  <si>
    <t>DEF-FS-001</t>
  </si>
  <si>
    <t>evidence/screenshots/DEF_FS_001_same_origin_destination_allowed.jpg</t>
  </si>
  <si>
    <t>The system successfully displayed available flight results for DEL to DXB using valid future travel dates, 1 passenger, and Economy class. The returned results matched the selected route and search criteria.</t>
  </si>
  <si>
    <t>TC_FS_001_valid_search_results.jpg</t>
  </si>
  <si>
    <t>TC_FS_003_past_date_disabled.jpg</t>
  </si>
  <si>
    <t>The Book/Continue option remained disabled when a mandatory passenger field was left blank, preventing the user from proceeding with incomplete passenger details</t>
  </si>
  <si>
    <t>The passenger name field accepted an excessively long value without validation or character-limit indication. After booking, the passenger name was silently truncated on the invoice.</t>
  </si>
  <si>
    <t>DEF-PAX-001</t>
  </si>
  <si>
    <t>Blocked</t>
  </si>
  <si>
    <t>Payment was cancelled successfully. The system displayed that no charges were made, the Booking Status remained Pending, and the Payment Status remained Unpaid.</t>
  </si>
  <si>
    <t>DEF-PAX-002</t>
  </si>
  <si>
    <t>DEF-PAY-001</t>
  </si>
  <si>
    <t>After successful payment, the booking status changed to Confirmed and payment status changed to Paid. The Make Payment option was no longer displayed, preventing another payment attempt from being initiated through the invoice UI.</t>
  </si>
  <si>
    <t>After successful payment and page refresh, a single confirmed booking remained associated with booking reference 64978746. No additional booking reference was generated through the observed payment flow.</t>
  </si>
  <si>
    <t>Payment timeout could not be safely and deterministically simulated using the available demo UI and Stripe Sandbox flow. Test retained as a design-level scenario.</t>
  </si>
  <si>
    <t>The final payable amount displayed on the booking invoice was USD 104,410.75. Stripe Sandbox displayed the same transaction amount of USD 104,410.75, and the confirmed paid invoice retained the same total amount. No discrepancy was observed.</t>
  </si>
  <si>
    <t>Booking reference 80882104 was successfully retrieved through the Admin booking interface. The retrieved booking displayed the expected DEL → DXB itinerary, passenger/customer information, Booking Status as Confirmed, and Payment Status as Paid.</t>
  </si>
  <si>
    <r>
      <t xml:space="preserve">A cancellation request was successfully submitted for confirmed booking </t>
    </r>
    <r>
      <rPr>
        <sz val="10"/>
        <rFont val="Arial Unicode MS"/>
        <family val="2"/>
      </rPr>
      <t>80882104</t>
    </r>
    <r>
      <rPr>
        <sz val="11"/>
        <rFont val="Carlito"/>
      </rPr>
      <t xml:space="preserve">. However, the cancellation could not be completed in the Admin portal because the booking had no issued PNR. The system displayed </t>
    </r>
    <r>
      <rPr>
        <sz val="10"/>
        <rFont val="Arial Unicode MS"/>
        <family val="2"/>
      </rPr>
      <t>Booking Issue Error: Invalid JSON response from Sabre API</t>
    </r>
    <r>
      <rPr>
        <sz val="11"/>
        <rFont val="Carlito"/>
      </rPr>
      <t>, and the booking remained Confirmed/Paid with the cancellation request pending.</t>
    </r>
  </si>
  <si>
    <t>Cancellation processing is blocked because supplier booking issuance/PNR generation is incomplete.</t>
  </si>
  <si>
    <t>DEF-CAN-001</t>
  </si>
  <si>
    <t>Booking 81255961 was already in Cancelled status with Payment Status Refunded. The booking page did not display a Request Cancellation option, preventing another cancellation attempt.</t>
  </si>
  <si>
    <t>No booking with Booking Status = Cancelled and Payment Status = Paid was available in the current demo data. Available cancelled bookings were already in Refunded status, so refund initiation could not be executed or observed.</t>
  </si>
  <si>
    <t>The refund amount displayed by the system matched the expected refundable amount based on the booking amount and applicable cancellation/refund rules.</t>
  </si>
  <si>
    <t>The end-to-end booking flow was completed successfully from flight search through fare selection, passenger entry, payment, and booking confirmation. The resulting booking information was consistent with the selected itinerary and payment details.</t>
  </si>
  <si>
    <t>A deterministic payment-timeout condition could not be safely reproduced in the current demo environment, so retry behavior after timeout and duplicate charge/booking protection could not be validated end to end.</t>
  </si>
</sst>
</file>

<file path=xl/styles.xml><?xml version="1.0" encoding="utf-8"?>
<styleSheet xmlns="http://schemas.openxmlformats.org/spreadsheetml/2006/main">
  <fonts count="4">
    <font>
      <sz val="11"/>
      <name val="Carlito"/>
    </font>
    <font>
      <b/>
      <sz val="11"/>
      <color rgb="FFFFFFFF"/>
      <name val="Carlito"/>
    </font>
    <font>
      <b/>
      <sz val="14"/>
      <color rgb="FFFFFFFF"/>
      <name val="Carlito"/>
    </font>
    <font>
      <sz val="10"/>
      <name val="Arial Unicode MS"/>
      <family val="2"/>
    </font>
  </fonts>
  <fills count="4">
    <fill>
      <patternFill patternType="none"/>
    </fill>
    <fill>
      <patternFill patternType="gray125"/>
    </fill>
    <fill>
      <patternFill patternType="solid">
        <fgColor rgb="FF0B1F3A"/>
      </patternFill>
    </fill>
    <fill>
      <patternFill patternType="solid">
        <fgColor rgb="FF163A63"/>
      </patternFill>
    </fill>
  </fills>
  <borders count="1">
    <border>
      <left/>
      <right/>
      <top/>
      <bottom/>
      <diagonal/>
    </border>
  </borders>
  <cellStyleXfs count="1">
    <xf numFmtId="0" fontId="0" fillId="0" borderId="0"/>
  </cellStyleXfs>
  <cellXfs count="12">
    <xf numFmtId="0" fontId="0" fillId="0" borderId="0" xfId="0"/>
    <xf numFmtId="0" fontId="0" fillId="0" borderId="0" xfId="0" applyNumberFormat="1" applyFont="1" applyFill="1" applyBorder="1" applyAlignment="1">
      <alignment wrapText="1"/>
    </xf>
    <xf numFmtId="0" fontId="1" fillId="2" borderId="0" xfId="0" applyNumberFormat="1" applyFont="1" applyFill="1" applyBorder="1" applyAlignment="1">
      <alignment horizontal="center" vertical="top" wrapText="1"/>
    </xf>
    <xf numFmtId="0" fontId="0" fillId="0" borderId="0" xfId="0" applyNumberFormat="1" applyFont="1" applyFill="1" applyBorder="1" applyAlignment="1">
      <alignment vertical="top" wrapText="1"/>
    </xf>
    <xf numFmtId="0" fontId="1" fillId="3" borderId="0" xfId="0" applyNumberFormat="1" applyFont="1" applyFill="1" applyBorder="1" applyAlignment="1">
      <alignment horizontal="center" wrapText="1"/>
    </xf>
    <xf numFmtId="9" fontId="0" fillId="0" borderId="0" xfId="0" applyNumberFormat="1" applyFont="1" applyFill="1" applyBorder="1" applyAlignment="1">
      <alignment wrapText="1"/>
    </xf>
    <xf numFmtId="0" fontId="1" fillId="3" borderId="0" xfId="0" applyNumberFormat="1" applyFont="1" applyFill="1" applyBorder="1" applyAlignment="1">
      <alignment wrapText="1"/>
    </xf>
    <xf numFmtId="0" fontId="0" fillId="0" borderId="0" xfId="0" applyNumberFormat="1" applyFill="1" applyBorder="1" applyAlignment="1">
      <alignment vertical="top" wrapText="1"/>
    </xf>
    <xf numFmtId="0" fontId="0" fillId="0" borderId="0" xfId="0" applyAlignment="1">
      <alignment wrapText="1"/>
    </xf>
    <xf numFmtId="0" fontId="0" fillId="0" borderId="0" xfId="0" applyAlignment="1">
      <alignment vertical="top"/>
    </xf>
    <xf numFmtId="0" fontId="0" fillId="0" borderId="0" xfId="0" applyAlignment="1">
      <alignment vertical="top" wrapText="1"/>
    </xf>
    <xf numFmtId="0" fontId="2" fillId="2" borderId="0" xfId="0" applyNumberFormat="1" applyFont="1" applyFill="1" applyBorder="1" applyAlignment="1">
      <alignment horizontal="center" vertical="center"/>
    </xf>
  </cellXfs>
  <cellStyles count="1">
    <cellStyle name="Normal" xfId="0" builtinId="0"/>
  </cellStyles>
  <dxfs count="4">
    <dxf>
      <font>
        <b/>
        <color rgb="FF991B1B"/>
      </font>
      <fill>
        <patternFill patternType="solid">
          <bgColor rgb="FFFECACA"/>
        </patternFill>
      </fill>
    </dxf>
    <dxf>
      <font>
        <color rgb="FF92400E"/>
      </font>
      <fill>
        <patternFill patternType="solid">
          <bgColor rgb="FFFEF3C7"/>
        </patternFill>
      </fill>
    </dxf>
    <dxf>
      <font>
        <color rgb="FF991B1B"/>
      </font>
      <fill>
        <patternFill patternType="solid">
          <bgColor rgb="FFFEE2E2"/>
        </patternFill>
      </fill>
    </dxf>
    <dxf>
      <font>
        <color rgb="FF166534"/>
      </font>
      <fill>
        <patternFill patternType="solid">
          <bgColor rgb="FFDCFCE7"/>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r>
              <a:rPr lang="en-US"/>
              <a:t>Test Cases by Module</a:t>
            </a:r>
          </a:p>
        </c:rich>
      </c:tx>
    </c:title>
    <c:plotArea>
      <c:layout/>
      <c:barChart>
        <c:barDir val="col"/>
        <c:grouping val="clustered"/>
        <c:ser>
          <c:idx val="0"/>
          <c:order val="0"/>
          <c:tx>
            <c:v>Count</c:v>
          </c:tx>
          <c:cat>
            <c:strRef>
              <c:f>'Coverage Summary'!$D$4:$D$11</c:f>
              <c:strCache>
                <c:ptCount val="8"/>
                <c:pt idx="0">
                  <c:v>Flight Search</c:v>
                </c:pt>
                <c:pt idx="1">
                  <c:v>Fare</c:v>
                </c:pt>
                <c:pt idx="2">
                  <c:v>Passenger</c:v>
                </c:pt>
                <c:pt idx="3">
                  <c:v>Payment</c:v>
                </c:pt>
                <c:pt idx="4">
                  <c:v>Booking / PNR</c:v>
                </c:pt>
                <c:pt idx="5">
                  <c:v>Cancellation</c:v>
                </c:pt>
                <c:pt idx="6">
                  <c:v>Refund</c:v>
                </c:pt>
                <c:pt idx="7">
                  <c:v>End-to-End</c:v>
                </c:pt>
              </c:strCache>
            </c:strRef>
          </c:cat>
          <c:val>
            <c:numRef>
              <c:f>'Coverage Summary'!$E$4:$E$11</c:f>
              <c:numCache>
                <c:formatCode>General</c:formatCode>
                <c:ptCount val="8"/>
                <c:pt idx="0">
                  <c:v>8</c:v>
                </c:pt>
                <c:pt idx="1">
                  <c:v>5</c:v>
                </c:pt>
                <c:pt idx="2">
                  <c:v>5</c:v>
                </c:pt>
                <c:pt idx="3">
                  <c:v>7</c:v>
                </c:pt>
                <c:pt idx="4">
                  <c:v>6</c:v>
                </c:pt>
                <c:pt idx="5">
                  <c:v>3</c:v>
                </c:pt>
                <c:pt idx="6">
                  <c:v>2</c:v>
                </c:pt>
                <c:pt idx="7">
                  <c:v>3</c:v>
                </c:pt>
              </c:numCache>
            </c:numRef>
          </c:val>
        </c:ser>
        <c:axId val="131187072"/>
        <c:axId val="131188608"/>
      </c:barChart>
      <c:catAx>
        <c:axId val="131187072"/>
        <c:scaling>
          <c:orientation val="minMax"/>
        </c:scaling>
        <c:axPos val="b"/>
        <c:majorGridlines>
          <c:spPr>
            <a:ln w="9525">
              <a:solidFill>
                <a:srgbClr val="CCCCCC"/>
              </a:solidFill>
              <a:prstDash val="dash"/>
            </a:ln>
          </c:spPr>
        </c:majorGridlines>
        <c:numFmt formatCode="General" sourceLinked="0"/>
        <c:majorTickMark val="none"/>
        <c:tickLblPos val="nextTo"/>
        <c:crossAx val="131188608"/>
        <c:crosses val="autoZero"/>
        <c:lblAlgn val="ctr"/>
        <c:lblOffset val="100"/>
      </c:catAx>
      <c:valAx>
        <c:axId val="131188608"/>
        <c:scaling>
          <c:orientation val="minMax"/>
        </c:scaling>
        <c:axPos val="l"/>
        <c:majorGridlines>
          <c:spPr>
            <a:ln w="9525">
              <a:solidFill>
                <a:srgbClr val="CCCCCC"/>
              </a:solidFill>
              <a:prstDash val="dash"/>
            </a:ln>
          </c:spPr>
        </c:majorGridlines>
        <c:numFmt formatCode="General" sourceLinked="0"/>
        <c:majorTickMark val="none"/>
        <c:tickLblPos val="nextTo"/>
        <c:crossAx val="131187072"/>
        <c:crosses val="autoZero"/>
        <c:crossBetween val="between"/>
      </c:valAx>
    </c:plotArea>
    <c:plotVisOnly val="1"/>
  </c:chart>
  <c:spPr>
    <a:ln w="9525">
      <a:solidFill>
        <a:srgbClr val="D9D9D9"/>
      </a:solidFill>
      <a:prstDash val="solid"/>
    </a:ln>
  </c:spPr>
  <c:printSettings>
    <c:headerFooter/>
    <c:pageMargins b="0.750000000000002" l="0.70000000000000062" r="0.70000000000000062" t="0.750000000000002" header="0.30000000000000032" footer="0.30000000000000032"/>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2</xdr:row>
      <xdr:rowOff>0</xdr:rowOff>
    </xdr:from>
    <xdr:to>
      <xdr:col>14</xdr:col>
      <xdr:colOff>0</xdr:colOff>
      <xdr:row>18</xdr:row>
      <xdr:rowOff>0</xdr:rowOff>
    </xdr:to>
    <xdr:graphicFrame macro="">
      <xdr:nvGraphicFramePr>
        <xdr:cNvPr id="2" nam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AirlineTestCases" displayName="AirlineTestCases" ref="A1:O40" totalsRowShown="0">
  <tableColumns count="15">
    <tableColumn id="1" name="Test Case ID"/>
    <tableColumn id="2" name="Requirement ID"/>
    <tableColumn id="3" name="Scenario ID"/>
    <tableColumn id="4" name="Module"/>
    <tableColumn id="5" name="Title"/>
    <tableColumn id="6" name="Preconditions"/>
    <tableColumn id="7" name="Test Data"/>
    <tableColumn id="8" name="Steps"/>
    <tableColumn id="9" name="Expected Result"/>
    <tableColumn id="10" name="Priority"/>
    <tableColumn id="11" name="Test Type"/>
    <tableColumn id="12" name="Execution Status"/>
    <tableColumn id="13" name="Actual Result"/>
    <tableColumn id="14" name="Defect ID"/>
    <tableColumn id="15" name="Evidence / Screensho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O40"/>
  <sheetViews>
    <sheetView tabSelected="1" topLeftCell="A36" workbookViewId="0">
      <selection activeCell="M40" sqref="M40"/>
    </sheetView>
  </sheetViews>
  <sheetFormatPr defaultRowHeight="13.8"/>
  <cols>
    <col min="1" max="3" width="14" customWidth="1"/>
    <col min="4" max="4" width="18" customWidth="1"/>
    <col min="5" max="5" width="40" customWidth="1"/>
    <col min="6" max="7" width="32" customWidth="1"/>
    <col min="8" max="9" width="45" customWidth="1"/>
    <col min="10" max="10" width="12" customWidth="1"/>
    <col min="11" max="12" width="16" customWidth="1"/>
    <col min="13" max="13" width="30" customWidth="1"/>
    <col min="14" max="14" width="14" customWidth="1"/>
    <col min="15" max="15" width="24" customWidth="1"/>
  </cols>
  <sheetData>
    <row r="1" spans="1:15" ht="27.6">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spans="1:15" ht="82.8">
      <c r="A2" s="3" t="s">
        <v>15</v>
      </c>
      <c r="B2" s="3" t="s">
        <v>16</v>
      </c>
      <c r="C2" s="3" t="s">
        <v>17</v>
      </c>
      <c r="D2" s="3" t="s">
        <v>18</v>
      </c>
      <c r="E2" s="3" t="s">
        <v>19</v>
      </c>
      <c r="F2" s="3" t="s">
        <v>20</v>
      </c>
      <c r="G2" s="3" t="s">
        <v>21</v>
      </c>
      <c r="H2" s="3" t="s">
        <v>22</v>
      </c>
      <c r="I2" s="3" t="s">
        <v>23</v>
      </c>
      <c r="J2" s="3" t="s">
        <v>24</v>
      </c>
      <c r="K2" s="3" t="s">
        <v>25</v>
      </c>
      <c r="L2" s="7" t="s">
        <v>333</v>
      </c>
      <c r="M2" s="7" t="s">
        <v>350</v>
      </c>
      <c r="N2" s="3"/>
      <c r="O2" s="7" t="s">
        <v>351</v>
      </c>
    </row>
    <row r="3" spans="1:15" ht="96.6">
      <c r="A3" s="3" t="s">
        <v>27</v>
      </c>
      <c r="B3" s="3" t="s">
        <v>28</v>
      </c>
      <c r="C3" s="3" t="s">
        <v>29</v>
      </c>
      <c r="D3" s="3" t="s">
        <v>18</v>
      </c>
      <c r="E3" s="3" t="s">
        <v>30</v>
      </c>
      <c r="F3" s="3" t="s">
        <v>31</v>
      </c>
      <c r="G3" s="3" t="s">
        <v>32</v>
      </c>
      <c r="H3" s="3" t="s">
        <v>33</v>
      </c>
      <c r="I3" s="3" t="s">
        <v>34</v>
      </c>
      <c r="J3" s="3" t="s">
        <v>24</v>
      </c>
      <c r="K3" s="3" t="s">
        <v>35</v>
      </c>
      <c r="L3" s="3" t="s">
        <v>334</v>
      </c>
      <c r="M3" s="8" t="s">
        <v>347</v>
      </c>
      <c r="N3" s="9" t="s">
        <v>348</v>
      </c>
      <c r="O3" s="7" t="s">
        <v>349</v>
      </c>
    </row>
    <row r="4" spans="1:15" ht="69">
      <c r="A4" s="3" t="s">
        <v>36</v>
      </c>
      <c r="B4" s="3" t="s">
        <v>37</v>
      </c>
      <c r="C4" s="3" t="s">
        <v>38</v>
      </c>
      <c r="D4" s="3" t="s">
        <v>18</v>
      </c>
      <c r="E4" s="3" t="s">
        <v>39</v>
      </c>
      <c r="F4" s="3" t="s">
        <v>31</v>
      </c>
      <c r="G4" s="3" t="s">
        <v>40</v>
      </c>
      <c r="H4" s="3" t="s">
        <v>41</v>
      </c>
      <c r="I4" s="3" t="s">
        <v>42</v>
      </c>
      <c r="J4" s="3" t="s">
        <v>24</v>
      </c>
      <c r="K4" s="3" t="s">
        <v>35</v>
      </c>
      <c r="L4" s="3" t="s">
        <v>333</v>
      </c>
      <c r="M4" s="7" t="s">
        <v>346</v>
      </c>
      <c r="N4" s="3"/>
      <c r="O4" s="7" t="s">
        <v>352</v>
      </c>
    </row>
    <row r="5" spans="1:15" ht="55.2">
      <c r="A5" s="3" t="s">
        <v>43</v>
      </c>
      <c r="B5" s="3" t="s">
        <v>44</v>
      </c>
      <c r="C5" s="3" t="s">
        <v>45</v>
      </c>
      <c r="D5" s="3" t="s">
        <v>18</v>
      </c>
      <c r="E5" s="3" t="s">
        <v>46</v>
      </c>
      <c r="F5" s="3" t="s">
        <v>47</v>
      </c>
      <c r="G5" s="3" t="s">
        <v>48</v>
      </c>
      <c r="H5" s="3" t="s">
        <v>49</v>
      </c>
      <c r="I5" s="3" t="s">
        <v>50</v>
      </c>
      <c r="J5" s="3" t="s">
        <v>24</v>
      </c>
      <c r="K5" s="3" t="s">
        <v>51</v>
      </c>
      <c r="L5" s="3" t="s">
        <v>333</v>
      </c>
      <c r="M5" s="3"/>
      <c r="N5" s="3"/>
      <c r="O5" s="3"/>
    </row>
    <row r="6" spans="1:15" ht="55.2">
      <c r="A6" s="3" t="s">
        <v>52</v>
      </c>
      <c r="B6" s="3" t="s">
        <v>28</v>
      </c>
      <c r="C6" s="3" t="s">
        <v>53</v>
      </c>
      <c r="D6" s="3" t="s">
        <v>18</v>
      </c>
      <c r="E6" s="3" t="s">
        <v>54</v>
      </c>
      <c r="F6" s="3" t="s">
        <v>31</v>
      </c>
      <c r="G6" s="3" t="s">
        <v>55</v>
      </c>
      <c r="H6" s="3" t="s">
        <v>56</v>
      </c>
      <c r="I6" s="3" t="s">
        <v>57</v>
      </c>
      <c r="J6" s="3" t="s">
        <v>24</v>
      </c>
      <c r="K6" s="3" t="s">
        <v>35</v>
      </c>
      <c r="L6" s="3" t="s">
        <v>333</v>
      </c>
      <c r="M6" s="3"/>
      <c r="N6" s="3"/>
      <c r="O6" s="3"/>
    </row>
    <row r="7" spans="1:15" ht="41.4">
      <c r="A7" s="3" t="s">
        <v>58</v>
      </c>
      <c r="B7" s="3" t="s">
        <v>59</v>
      </c>
      <c r="C7" s="3" t="s">
        <v>60</v>
      </c>
      <c r="D7" s="3" t="s">
        <v>18</v>
      </c>
      <c r="E7" s="3" t="s">
        <v>61</v>
      </c>
      <c r="F7" s="3" t="s">
        <v>62</v>
      </c>
      <c r="G7" s="3" t="s">
        <v>63</v>
      </c>
      <c r="H7" s="3" t="s">
        <v>64</v>
      </c>
      <c r="I7" s="3" t="s">
        <v>65</v>
      </c>
      <c r="J7" s="3" t="s">
        <v>24</v>
      </c>
      <c r="K7" s="3" t="s">
        <v>66</v>
      </c>
      <c r="L7" s="3" t="s">
        <v>333</v>
      </c>
      <c r="M7" s="3"/>
      <c r="N7" s="3"/>
      <c r="O7" s="3"/>
    </row>
    <row r="8" spans="1:15" ht="41.4">
      <c r="A8" s="3" t="s">
        <v>67</v>
      </c>
      <c r="B8" s="3" t="s">
        <v>59</v>
      </c>
      <c r="C8" s="3" t="s">
        <v>68</v>
      </c>
      <c r="D8" s="3" t="s">
        <v>18</v>
      </c>
      <c r="E8" s="3" t="s">
        <v>69</v>
      </c>
      <c r="F8" s="3" t="s">
        <v>62</v>
      </c>
      <c r="G8" s="3" t="s">
        <v>70</v>
      </c>
      <c r="H8" s="3" t="s">
        <v>71</v>
      </c>
      <c r="I8" s="3" t="s">
        <v>72</v>
      </c>
      <c r="J8" s="3" t="s">
        <v>24</v>
      </c>
      <c r="K8" s="3" t="s">
        <v>66</v>
      </c>
      <c r="L8" s="3" t="s">
        <v>333</v>
      </c>
      <c r="M8" s="3"/>
      <c r="N8" s="3"/>
      <c r="O8" s="3"/>
    </row>
    <row r="9" spans="1:15" ht="27.6">
      <c r="A9" s="3" t="s">
        <v>73</v>
      </c>
      <c r="B9" s="3" t="s">
        <v>59</v>
      </c>
      <c r="C9" s="3" t="s">
        <v>74</v>
      </c>
      <c r="D9" s="3" t="s">
        <v>18</v>
      </c>
      <c r="E9" s="3" t="s">
        <v>75</v>
      </c>
      <c r="F9" s="3" t="s">
        <v>76</v>
      </c>
      <c r="G9" s="3" t="s">
        <v>77</v>
      </c>
      <c r="H9" s="3" t="s">
        <v>78</v>
      </c>
      <c r="I9" s="3" t="s">
        <v>79</v>
      </c>
      <c r="J9" s="3" t="s">
        <v>80</v>
      </c>
      <c r="K9" s="3" t="s">
        <v>35</v>
      </c>
      <c r="L9" s="3" t="s">
        <v>333</v>
      </c>
      <c r="M9" s="3"/>
      <c r="N9" s="3"/>
      <c r="O9" s="3"/>
    </row>
    <row r="10" spans="1:15" ht="27.6">
      <c r="A10" s="3" t="s">
        <v>81</v>
      </c>
      <c r="B10" s="3" t="s">
        <v>82</v>
      </c>
      <c r="C10" s="3" t="s">
        <v>83</v>
      </c>
      <c r="D10" s="3" t="s">
        <v>84</v>
      </c>
      <c r="E10" s="3" t="s">
        <v>85</v>
      </c>
      <c r="F10" s="3" t="s">
        <v>86</v>
      </c>
      <c r="G10" s="3" t="s">
        <v>87</v>
      </c>
      <c r="H10" s="3" t="s">
        <v>88</v>
      </c>
      <c r="I10" s="3" t="s">
        <v>89</v>
      </c>
      <c r="J10" s="3" t="s">
        <v>24</v>
      </c>
      <c r="K10" s="3" t="s">
        <v>66</v>
      </c>
      <c r="L10" s="3" t="s">
        <v>333</v>
      </c>
      <c r="M10" s="3"/>
      <c r="N10" s="3"/>
      <c r="O10" s="3"/>
    </row>
    <row r="11" spans="1:15" ht="55.2">
      <c r="A11" s="3" t="s">
        <v>90</v>
      </c>
      <c r="B11" s="3" t="s">
        <v>91</v>
      </c>
      <c r="C11" s="3" t="s">
        <v>92</v>
      </c>
      <c r="D11" s="3" t="s">
        <v>84</v>
      </c>
      <c r="E11" s="3" t="s">
        <v>93</v>
      </c>
      <c r="F11" s="3" t="s">
        <v>94</v>
      </c>
      <c r="G11" s="3" t="s">
        <v>95</v>
      </c>
      <c r="H11" s="3" t="s">
        <v>96</v>
      </c>
      <c r="I11" s="3" t="s">
        <v>97</v>
      </c>
      <c r="J11" s="3" t="s">
        <v>24</v>
      </c>
      <c r="K11" s="3" t="s">
        <v>66</v>
      </c>
      <c r="L11" s="3" t="s">
        <v>333</v>
      </c>
      <c r="M11" s="3"/>
      <c r="N11" s="3"/>
      <c r="O11" s="3"/>
    </row>
    <row r="12" spans="1:15" ht="55.2">
      <c r="A12" s="3" t="s">
        <v>98</v>
      </c>
      <c r="B12" s="3" t="s">
        <v>99</v>
      </c>
      <c r="C12" s="3" t="s">
        <v>100</v>
      </c>
      <c r="D12" s="3" t="s">
        <v>84</v>
      </c>
      <c r="E12" s="3" t="s">
        <v>101</v>
      </c>
      <c r="F12" s="3" t="s">
        <v>102</v>
      </c>
      <c r="G12" s="3" t="s">
        <v>103</v>
      </c>
      <c r="H12" s="3" t="s">
        <v>104</v>
      </c>
      <c r="I12" s="3" t="s">
        <v>105</v>
      </c>
      <c r="J12" s="3" t="s">
        <v>24</v>
      </c>
      <c r="K12" s="3" t="s">
        <v>66</v>
      </c>
      <c r="L12" s="3" t="s">
        <v>333</v>
      </c>
      <c r="M12" s="3"/>
      <c r="N12" s="3"/>
      <c r="O12" s="3"/>
    </row>
    <row r="13" spans="1:15" ht="41.4">
      <c r="A13" s="3" t="s">
        <v>106</v>
      </c>
      <c r="B13" s="3" t="s">
        <v>107</v>
      </c>
      <c r="C13" s="3" t="s">
        <v>108</v>
      </c>
      <c r="D13" s="3" t="s">
        <v>84</v>
      </c>
      <c r="E13" s="3" t="s">
        <v>109</v>
      </c>
      <c r="F13" s="3" t="s">
        <v>110</v>
      </c>
      <c r="G13" s="3" t="s">
        <v>111</v>
      </c>
      <c r="H13" s="3" t="s">
        <v>112</v>
      </c>
      <c r="I13" s="3" t="s">
        <v>113</v>
      </c>
      <c r="J13" s="3" t="s">
        <v>24</v>
      </c>
      <c r="K13" s="3" t="s">
        <v>114</v>
      </c>
      <c r="L13" s="3" t="s">
        <v>333</v>
      </c>
      <c r="M13" s="3"/>
      <c r="N13" s="3"/>
      <c r="O13" s="3"/>
    </row>
    <row r="14" spans="1:15" ht="27.6">
      <c r="A14" s="3" t="s">
        <v>115</v>
      </c>
      <c r="B14" s="3" t="s">
        <v>107</v>
      </c>
      <c r="C14" s="3" t="s">
        <v>116</v>
      </c>
      <c r="D14" s="3" t="s">
        <v>84</v>
      </c>
      <c r="E14" s="3" t="s">
        <v>117</v>
      </c>
      <c r="F14" s="3" t="s">
        <v>118</v>
      </c>
      <c r="G14" s="3" t="s">
        <v>119</v>
      </c>
      <c r="H14" s="3" t="s">
        <v>120</v>
      </c>
      <c r="I14" s="3" t="s">
        <v>121</v>
      </c>
      <c r="J14" s="3" t="s">
        <v>24</v>
      </c>
      <c r="K14" s="3" t="s">
        <v>66</v>
      </c>
      <c r="L14" s="3" t="s">
        <v>333</v>
      </c>
      <c r="M14" s="3"/>
      <c r="N14" s="3"/>
      <c r="O14" s="3"/>
    </row>
    <row r="15" spans="1:15" ht="27.6">
      <c r="A15" s="3" t="s">
        <v>122</v>
      </c>
      <c r="B15" s="3" t="s">
        <v>123</v>
      </c>
      <c r="C15" s="3" t="s">
        <v>124</v>
      </c>
      <c r="D15" s="3" t="s">
        <v>125</v>
      </c>
      <c r="E15" s="3" t="s">
        <v>126</v>
      </c>
      <c r="F15" s="3" t="s">
        <v>127</v>
      </c>
      <c r="G15" s="3" t="s">
        <v>128</v>
      </c>
      <c r="H15" s="3" t="s">
        <v>129</v>
      </c>
      <c r="I15" s="3" t="s">
        <v>130</v>
      </c>
      <c r="J15" s="3" t="s">
        <v>24</v>
      </c>
      <c r="K15" s="3" t="s">
        <v>25</v>
      </c>
      <c r="L15" s="3" t="s">
        <v>333</v>
      </c>
      <c r="M15" s="3"/>
      <c r="N15" s="3"/>
      <c r="O15" s="3"/>
    </row>
    <row r="16" spans="1:15" ht="82.8">
      <c r="A16" s="3" t="s">
        <v>131</v>
      </c>
      <c r="B16" s="3" t="s">
        <v>123</v>
      </c>
      <c r="C16" s="3" t="s">
        <v>132</v>
      </c>
      <c r="D16" s="3" t="s">
        <v>125</v>
      </c>
      <c r="E16" s="3" t="s">
        <v>133</v>
      </c>
      <c r="F16" s="3" t="s">
        <v>134</v>
      </c>
      <c r="G16" s="3" t="s">
        <v>135</v>
      </c>
      <c r="H16" s="3" t="s">
        <v>136</v>
      </c>
      <c r="I16" s="3" t="s">
        <v>137</v>
      </c>
      <c r="J16" s="3" t="s">
        <v>24</v>
      </c>
      <c r="K16" s="3" t="s">
        <v>35</v>
      </c>
      <c r="L16" s="3" t="s">
        <v>333</v>
      </c>
      <c r="M16" s="8" t="s">
        <v>353</v>
      </c>
      <c r="N16" s="3"/>
      <c r="O16" s="3"/>
    </row>
    <row r="17" spans="1:15" ht="82.8">
      <c r="A17" s="3" t="s">
        <v>138</v>
      </c>
      <c r="B17" s="3" t="s">
        <v>139</v>
      </c>
      <c r="C17" s="3" t="s">
        <v>140</v>
      </c>
      <c r="D17" s="3" t="s">
        <v>125</v>
      </c>
      <c r="E17" s="3" t="s">
        <v>141</v>
      </c>
      <c r="F17" s="3" t="s">
        <v>134</v>
      </c>
      <c r="G17" s="3" t="s">
        <v>142</v>
      </c>
      <c r="H17" s="3" t="s">
        <v>143</v>
      </c>
      <c r="I17" s="3" t="s">
        <v>144</v>
      </c>
      <c r="J17" s="3" t="s">
        <v>80</v>
      </c>
      <c r="K17" s="3" t="s">
        <v>145</v>
      </c>
      <c r="L17" s="3" t="s">
        <v>334</v>
      </c>
      <c r="M17" s="7" t="s">
        <v>354</v>
      </c>
      <c r="N17" s="7" t="s">
        <v>355</v>
      </c>
      <c r="O17" s="3"/>
    </row>
    <row r="18" spans="1:15" ht="41.4">
      <c r="A18" s="3" t="s">
        <v>146</v>
      </c>
      <c r="B18" s="3" t="s">
        <v>147</v>
      </c>
      <c r="C18" s="3" t="s">
        <v>148</v>
      </c>
      <c r="D18" s="3" t="s">
        <v>125</v>
      </c>
      <c r="E18" s="7" t="s">
        <v>149</v>
      </c>
      <c r="F18" s="3" t="s">
        <v>150</v>
      </c>
      <c r="G18" s="3" t="s">
        <v>151</v>
      </c>
      <c r="H18" s="3" t="s">
        <v>152</v>
      </c>
      <c r="I18" s="3" t="s">
        <v>153</v>
      </c>
      <c r="J18" s="3" t="s">
        <v>80</v>
      </c>
      <c r="K18" s="3" t="s">
        <v>51</v>
      </c>
      <c r="L18" s="3" t="s">
        <v>333</v>
      </c>
      <c r="M18" s="3"/>
      <c r="N18" s="3"/>
      <c r="O18" s="3"/>
    </row>
    <row r="19" spans="1:15" ht="41.4">
      <c r="A19" s="3" t="s">
        <v>154</v>
      </c>
      <c r="B19" s="3" t="s">
        <v>155</v>
      </c>
      <c r="C19" s="3" t="s">
        <v>156</v>
      </c>
      <c r="D19" s="3" t="s">
        <v>125</v>
      </c>
      <c r="E19" s="7" t="s">
        <v>157</v>
      </c>
      <c r="F19" s="3" t="s">
        <v>158</v>
      </c>
      <c r="G19" s="3" t="s">
        <v>159</v>
      </c>
      <c r="H19" s="3" t="s">
        <v>160</v>
      </c>
      <c r="I19" s="3" t="s">
        <v>161</v>
      </c>
      <c r="J19" s="3" t="s">
        <v>24</v>
      </c>
      <c r="K19" s="3" t="s">
        <v>66</v>
      </c>
      <c r="L19" s="3" t="s">
        <v>334</v>
      </c>
      <c r="M19" s="3"/>
      <c r="N19" s="7" t="s">
        <v>358</v>
      </c>
      <c r="O19" s="3"/>
    </row>
    <row r="20" spans="1:15" ht="55.2">
      <c r="A20" s="3" t="s">
        <v>162</v>
      </c>
      <c r="B20" s="3" t="s">
        <v>163</v>
      </c>
      <c r="C20" s="3" t="s">
        <v>164</v>
      </c>
      <c r="D20" s="3" t="s">
        <v>165</v>
      </c>
      <c r="E20" s="3" t="s">
        <v>166</v>
      </c>
      <c r="F20" s="3" t="s">
        <v>167</v>
      </c>
      <c r="G20" s="3" t="s">
        <v>168</v>
      </c>
      <c r="H20" s="3" t="s">
        <v>169</v>
      </c>
      <c r="I20" s="3" t="s">
        <v>170</v>
      </c>
      <c r="J20" s="3" t="s">
        <v>171</v>
      </c>
      <c r="K20" s="3" t="s">
        <v>25</v>
      </c>
      <c r="L20" s="3" t="s">
        <v>356</v>
      </c>
      <c r="M20" s="3"/>
      <c r="N20" s="7" t="s">
        <v>359</v>
      </c>
      <c r="O20" s="3"/>
    </row>
    <row r="21" spans="1:15" ht="82.8">
      <c r="A21" s="3" t="s">
        <v>172</v>
      </c>
      <c r="B21" s="3" t="s">
        <v>173</v>
      </c>
      <c r="C21" s="3" t="s">
        <v>174</v>
      </c>
      <c r="D21" s="3" t="s">
        <v>165</v>
      </c>
      <c r="E21" s="3" t="s">
        <v>175</v>
      </c>
      <c r="F21" s="3" t="s">
        <v>176</v>
      </c>
      <c r="G21" s="3" t="s">
        <v>177</v>
      </c>
      <c r="H21" s="3" t="s">
        <v>178</v>
      </c>
      <c r="I21" s="3" t="s">
        <v>179</v>
      </c>
      <c r="J21" s="3" t="s">
        <v>171</v>
      </c>
      <c r="K21" s="3" t="s">
        <v>35</v>
      </c>
      <c r="L21" s="3" t="s">
        <v>333</v>
      </c>
      <c r="M21" s="7" t="s">
        <v>357</v>
      </c>
      <c r="N21" s="3"/>
      <c r="O21" s="3"/>
    </row>
    <row r="22" spans="1:15" ht="110.4">
      <c r="A22" s="3" t="s">
        <v>180</v>
      </c>
      <c r="B22" s="3" t="s">
        <v>181</v>
      </c>
      <c r="C22" s="3" t="s">
        <v>182</v>
      </c>
      <c r="D22" s="3" t="s">
        <v>165</v>
      </c>
      <c r="E22" s="3" t="s">
        <v>183</v>
      </c>
      <c r="F22" s="3" t="s">
        <v>176</v>
      </c>
      <c r="G22" s="3" t="s">
        <v>184</v>
      </c>
      <c r="H22" s="3" t="s">
        <v>185</v>
      </c>
      <c r="I22" s="3" t="s">
        <v>186</v>
      </c>
      <c r="J22" s="3" t="s">
        <v>171</v>
      </c>
      <c r="K22" s="3" t="s">
        <v>187</v>
      </c>
      <c r="L22" s="3" t="s">
        <v>333</v>
      </c>
      <c r="M22" s="7" t="s">
        <v>360</v>
      </c>
      <c r="N22" s="3"/>
      <c r="O22" s="3"/>
    </row>
    <row r="23" spans="1:15" ht="82.8">
      <c r="A23" s="3" t="s">
        <v>188</v>
      </c>
      <c r="B23" s="3" t="s">
        <v>181</v>
      </c>
      <c r="C23" s="3" t="s">
        <v>189</v>
      </c>
      <c r="D23" s="3" t="s">
        <v>165</v>
      </c>
      <c r="E23" s="3" t="s">
        <v>190</v>
      </c>
      <c r="F23" s="3" t="s">
        <v>176</v>
      </c>
      <c r="G23" s="3" t="s">
        <v>191</v>
      </c>
      <c r="H23" s="3" t="s">
        <v>192</v>
      </c>
      <c r="I23" s="3" t="s">
        <v>193</v>
      </c>
      <c r="J23" s="3" t="s">
        <v>171</v>
      </c>
      <c r="K23" s="3" t="s">
        <v>187</v>
      </c>
      <c r="L23" s="3" t="s">
        <v>333</v>
      </c>
      <c r="M23" s="10" t="s">
        <v>361</v>
      </c>
      <c r="N23" s="7"/>
      <c r="O23" s="3"/>
    </row>
    <row r="24" spans="1:15" ht="69">
      <c r="A24" s="3" t="s">
        <v>194</v>
      </c>
      <c r="B24" s="3" t="s">
        <v>195</v>
      </c>
      <c r="C24" s="3" t="s">
        <v>196</v>
      </c>
      <c r="D24" s="3" t="s">
        <v>165</v>
      </c>
      <c r="E24" s="3" t="s">
        <v>197</v>
      </c>
      <c r="F24" s="3" t="s">
        <v>198</v>
      </c>
      <c r="G24" s="3" t="s">
        <v>199</v>
      </c>
      <c r="H24" s="3" t="s">
        <v>200</v>
      </c>
      <c r="I24" s="3" t="s">
        <v>201</v>
      </c>
      <c r="J24" s="3" t="s">
        <v>171</v>
      </c>
      <c r="K24" s="3" t="s">
        <v>35</v>
      </c>
      <c r="L24" s="3" t="s">
        <v>356</v>
      </c>
      <c r="M24" s="7" t="s">
        <v>362</v>
      </c>
      <c r="N24" s="3"/>
      <c r="O24" s="3"/>
    </row>
    <row r="25" spans="1:15" ht="110.4">
      <c r="A25" s="3" t="s">
        <v>202</v>
      </c>
      <c r="B25" s="3" t="s">
        <v>203</v>
      </c>
      <c r="C25" s="3" t="s">
        <v>204</v>
      </c>
      <c r="D25" s="3" t="s">
        <v>165</v>
      </c>
      <c r="E25" s="3" t="s">
        <v>205</v>
      </c>
      <c r="F25" s="3" t="s">
        <v>206</v>
      </c>
      <c r="G25" s="3" t="s">
        <v>207</v>
      </c>
      <c r="H25" s="3" t="s">
        <v>208</v>
      </c>
      <c r="I25" s="3" t="s">
        <v>209</v>
      </c>
      <c r="J25" s="3" t="s">
        <v>171</v>
      </c>
      <c r="K25" s="3" t="s">
        <v>66</v>
      </c>
      <c r="L25" s="3" t="s">
        <v>333</v>
      </c>
      <c r="M25" s="7" t="s">
        <v>363</v>
      </c>
      <c r="N25" s="3"/>
      <c r="O25" s="3"/>
    </row>
    <row r="26" spans="1:15" ht="55.2">
      <c r="A26" s="3" t="s">
        <v>210</v>
      </c>
      <c r="B26" s="3" t="s">
        <v>203</v>
      </c>
      <c r="C26" s="3" t="s">
        <v>211</v>
      </c>
      <c r="D26" s="3" t="s">
        <v>165</v>
      </c>
      <c r="E26" s="3" t="s">
        <v>212</v>
      </c>
      <c r="F26" s="3" t="s">
        <v>213</v>
      </c>
      <c r="G26" s="3" t="s">
        <v>214</v>
      </c>
      <c r="H26" s="3" t="s">
        <v>215</v>
      </c>
      <c r="I26" s="3" t="s">
        <v>216</v>
      </c>
      <c r="J26" s="3" t="s">
        <v>171</v>
      </c>
      <c r="K26" s="3" t="s">
        <v>217</v>
      </c>
      <c r="L26" s="3" t="s">
        <v>26</v>
      </c>
      <c r="M26" s="3"/>
      <c r="N26" s="3"/>
      <c r="O26" s="3"/>
    </row>
    <row r="27" spans="1:15" ht="27.6">
      <c r="A27" s="3" t="s">
        <v>218</v>
      </c>
      <c r="B27" s="3" t="s">
        <v>219</v>
      </c>
      <c r="C27" s="3" t="s">
        <v>220</v>
      </c>
      <c r="D27" s="3" t="s">
        <v>221</v>
      </c>
      <c r="E27" s="3" t="s">
        <v>222</v>
      </c>
      <c r="F27" s="3" t="s">
        <v>223</v>
      </c>
      <c r="G27" s="3" t="s">
        <v>224</v>
      </c>
      <c r="H27" s="3" t="s">
        <v>225</v>
      </c>
      <c r="I27" s="3" t="s">
        <v>226</v>
      </c>
      <c r="J27" s="3" t="s">
        <v>171</v>
      </c>
      <c r="K27" s="3" t="s">
        <v>25</v>
      </c>
      <c r="L27" s="3" t="s">
        <v>26</v>
      </c>
      <c r="M27" s="3"/>
      <c r="N27" s="3"/>
      <c r="O27" s="3"/>
    </row>
    <row r="28" spans="1:15" ht="27.6">
      <c r="A28" s="3" t="s">
        <v>227</v>
      </c>
      <c r="B28" s="3" t="s">
        <v>228</v>
      </c>
      <c r="C28" s="3" t="s">
        <v>229</v>
      </c>
      <c r="D28" s="3" t="s">
        <v>221</v>
      </c>
      <c r="E28" s="3" t="s">
        <v>230</v>
      </c>
      <c r="F28" s="3" t="s">
        <v>231</v>
      </c>
      <c r="G28" s="3" t="s">
        <v>232</v>
      </c>
      <c r="H28" s="3" t="s">
        <v>233</v>
      </c>
      <c r="I28" s="3" t="s">
        <v>234</v>
      </c>
      <c r="J28" s="3" t="s">
        <v>171</v>
      </c>
      <c r="K28" s="3" t="s">
        <v>66</v>
      </c>
      <c r="L28" s="3" t="s">
        <v>26</v>
      </c>
      <c r="M28" s="3"/>
      <c r="N28" s="3"/>
      <c r="O28" s="3"/>
    </row>
    <row r="29" spans="1:15" ht="41.4">
      <c r="A29" s="3" t="s">
        <v>235</v>
      </c>
      <c r="B29" s="3" t="s">
        <v>236</v>
      </c>
      <c r="C29" s="3" t="s">
        <v>237</v>
      </c>
      <c r="D29" s="3" t="s">
        <v>221</v>
      </c>
      <c r="E29" s="3" t="s">
        <v>238</v>
      </c>
      <c r="F29" s="3" t="s">
        <v>239</v>
      </c>
      <c r="G29" s="3" t="s">
        <v>240</v>
      </c>
      <c r="H29" s="3" t="s">
        <v>241</v>
      </c>
      <c r="I29" s="3" t="s">
        <v>242</v>
      </c>
      <c r="J29" s="3" t="s">
        <v>24</v>
      </c>
      <c r="K29" s="3" t="s">
        <v>66</v>
      </c>
      <c r="L29" s="3" t="s">
        <v>26</v>
      </c>
      <c r="M29" s="3"/>
      <c r="N29" s="3"/>
      <c r="O29" s="3"/>
    </row>
    <row r="30" spans="1:15" ht="41.4">
      <c r="A30" s="3" t="s">
        <v>243</v>
      </c>
      <c r="B30" s="3" t="s">
        <v>236</v>
      </c>
      <c r="C30" s="3" t="s">
        <v>244</v>
      </c>
      <c r="D30" s="3" t="s">
        <v>221</v>
      </c>
      <c r="E30" s="3" t="s">
        <v>245</v>
      </c>
      <c r="F30" s="3" t="s">
        <v>239</v>
      </c>
      <c r="G30" s="3" t="s">
        <v>246</v>
      </c>
      <c r="H30" s="3" t="s">
        <v>247</v>
      </c>
      <c r="I30" s="3" t="s">
        <v>248</v>
      </c>
      <c r="J30" s="3" t="s">
        <v>24</v>
      </c>
      <c r="K30" s="3" t="s">
        <v>66</v>
      </c>
      <c r="L30" s="3" t="s">
        <v>26</v>
      </c>
      <c r="M30" s="3"/>
      <c r="N30" s="3"/>
      <c r="O30" s="3"/>
    </row>
    <row r="31" spans="1:15" ht="41.4">
      <c r="A31" s="3" t="s">
        <v>249</v>
      </c>
      <c r="B31" s="3" t="s">
        <v>236</v>
      </c>
      <c r="C31" s="3" t="s">
        <v>250</v>
      </c>
      <c r="D31" s="3" t="s">
        <v>221</v>
      </c>
      <c r="E31" s="3" t="s">
        <v>251</v>
      </c>
      <c r="F31" s="3" t="s">
        <v>239</v>
      </c>
      <c r="G31" s="3" t="s">
        <v>252</v>
      </c>
      <c r="H31" s="3" t="s">
        <v>253</v>
      </c>
      <c r="I31" s="3" t="s">
        <v>254</v>
      </c>
      <c r="J31" s="3" t="s">
        <v>24</v>
      </c>
      <c r="K31" s="3" t="s">
        <v>66</v>
      </c>
      <c r="L31" s="3" t="s">
        <v>26</v>
      </c>
      <c r="M31" s="3"/>
      <c r="N31" s="3"/>
      <c r="O31" s="3"/>
    </row>
    <row r="32" spans="1:15" ht="110.4">
      <c r="A32" s="3" t="s">
        <v>255</v>
      </c>
      <c r="B32" s="3" t="s">
        <v>256</v>
      </c>
      <c r="C32" s="3" t="s">
        <v>257</v>
      </c>
      <c r="D32" s="3" t="s">
        <v>221</v>
      </c>
      <c r="E32" s="3" t="s">
        <v>258</v>
      </c>
      <c r="F32" s="3" t="s">
        <v>259</v>
      </c>
      <c r="G32" s="3" t="s">
        <v>260</v>
      </c>
      <c r="H32" s="3" t="s">
        <v>261</v>
      </c>
      <c r="I32" s="3" t="s">
        <v>262</v>
      </c>
      <c r="J32" s="3" t="s">
        <v>24</v>
      </c>
      <c r="K32" s="3" t="s">
        <v>25</v>
      </c>
      <c r="L32" s="3" t="s">
        <v>333</v>
      </c>
      <c r="M32" s="7" t="s">
        <v>364</v>
      </c>
      <c r="N32" s="7" t="s">
        <v>367</v>
      </c>
      <c r="O32" s="3"/>
    </row>
    <row r="33" spans="1:15" ht="156.6">
      <c r="A33" s="3" t="s">
        <v>263</v>
      </c>
      <c r="B33" s="3" t="s">
        <v>264</v>
      </c>
      <c r="C33" s="3" t="s">
        <v>265</v>
      </c>
      <c r="D33" s="3" t="s">
        <v>266</v>
      </c>
      <c r="E33" s="3" t="s">
        <v>267</v>
      </c>
      <c r="F33" s="3" t="s">
        <v>268</v>
      </c>
      <c r="G33" s="3" t="s">
        <v>269</v>
      </c>
      <c r="H33" s="3" t="s">
        <v>270</v>
      </c>
      <c r="I33" s="3" t="s">
        <v>271</v>
      </c>
      <c r="J33" s="3" t="s">
        <v>24</v>
      </c>
      <c r="K33" s="3" t="s">
        <v>25</v>
      </c>
      <c r="L33" s="3" t="s">
        <v>334</v>
      </c>
      <c r="M33" s="8" t="s">
        <v>365</v>
      </c>
      <c r="N33" s="9" t="s">
        <v>367</v>
      </c>
      <c r="O33" s="3"/>
    </row>
    <row r="34" spans="1:15" ht="55.2">
      <c r="A34" s="3" t="s">
        <v>272</v>
      </c>
      <c r="B34" s="3" t="s">
        <v>273</v>
      </c>
      <c r="C34" s="3" t="s">
        <v>274</v>
      </c>
      <c r="D34" s="3" t="s">
        <v>266</v>
      </c>
      <c r="E34" s="3" t="s">
        <v>275</v>
      </c>
      <c r="F34" s="3" t="s">
        <v>276</v>
      </c>
      <c r="G34" s="3" t="s">
        <v>277</v>
      </c>
      <c r="H34" s="3" t="s">
        <v>278</v>
      </c>
      <c r="I34" s="3" t="s">
        <v>279</v>
      </c>
      <c r="J34" s="3" t="s">
        <v>24</v>
      </c>
      <c r="K34" s="3" t="s">
        <v>66</v>
      </c>
      <c r="L34" s="3" t="s">
        <v>356</v>
      </c>
      <c r="M34" s="7" t="s">
        <v>366</v>
      </c>
      <c r="N34" s="3"/>
      <c r="O34" s="3"/>
    </row>
    <row r="35" spans="1:15" ht="82.8">
      <c r="A35" s="3" t="s">
        <v>280</v>
      </c>
      <c r="B35" s="3" t="s">
        <v>264</v>
      </c>
      <c r="C35" s="3" t="s">
        <v>281</v>
      </c>
      <c r="D35" s="3" t="s">
        <v>266</v>
      </c>
      <c r="E35" s="3" t="s">
        <v>282</v>
      </c>
      <c r="F35" s="3" t="s">
        <v>283</v>
      </c>
      <c r="G35" s="3" t="s">
        <v>284</v>
      </c>
      <c r="H35" s="3" t="s">
        <v>285</v>
      </c>
      <c r="I35" s="3" t="s">
        <v>286</v>
      </c>
      <c r="J35" s="3" t="s">
        <v>80</v>
      </c>
      <c r="K35" s="3" t="s">
        <v>35</v>
      </c>
      <c r="L35" s="3" t="s">
        <v>333</v>
      </c>
      <c r="M35" s="7" t="s">
        <v>368</v>
      </c>
      <c r="N35" s="3"/>
      <c r="O35" s="3"/>
    </row>
    <row r="36" spans="1:15" ht="96.6">
      <c r="A36" s="3" t="s">
        <v>287</v>
      </c>
      <c r="B36" s="3" t="s">
        <v>288</v>
      </c>
      <c r="C36" s="3" t="s">
        <v>289</v>
      </c>
      <c r="D36" s="3" t="s">
        <v>290</v>
      </c>
      <c r="E36" s="3" t="s">
        <v>291</v>
      </c>
      <c r="F36" s="3" t="s">
        <v>292</v>
      </c>
      <c r="G36" s="3" t="s">
        <v>293</v>
      </c>
      <c r="H36" s="3" t="s">
        <v>294</v>
      </c>
      <c r="I36" s="3" t="s">
        <v>295</v>
      </c>
      <c r="J36" s="3" t="s">
        <v>24</v>
      </c>
      <c r="K36" s="3" t="s">
        <v>25</v>
      </c>
      <c r="L36" s="3" t="s">
        <v>356</v>
      </c>
      <c r="M36" s="7" t="s">
        <v>369</v>
      </c>
      <c r="N36" s="3"/>
      <c r="O36" s="3"/>
    </row>
    <row r="37" spans="1:15" ht="69">
      <c r="A37" s="3" t="s">
        <v>296</v>
      </c>
      <c r="B37" s="3" t="s">
        <v>288</v>
      </c>
      <c r="C37" s="3" t="s">
        <v>297</v>
      </c>
      <c r="D37" s="3" t="s">
        <v>290</v>
      </c>
      <c r="E37" s="3" t="s">
        <v>298</v>
      </c>
      <c r="F37" s="3" t="s">
        <v>299</v>
      </c>
      <c r="G37" s="3" t="s">
        <v>300</v>
      </c>
      <c r="H37" s="3" t="s">
        <v>301</v>
      </c>
      <c r="I37" s="3" t="s">
        <v>302</v>
      </c>
      <c r="J37" s="3" t="s">
        <v>24</v>
      </c>
      <c r="K37" s="3" t="s">
        <v>66</v>
      </c>
      <c r="L37" s="3" t="s">
        <v>333</v>
      </c>
      <c r="M37" s="7" t="s">
        <v>370</v>
      </c>
      <c r="N37" s="3"/>
      <c r="O37" s="3"/>
    </row>
    <row r="38" spans="1:15" ht="110.4">
      <c r="A38" s="3" t="s">
        <v>303</v>
      </c>
      <c r="B38" s="3" t="s">
        <v>228</v>
      </c>
      <c r="C38" s="3" t="s">
        <v>304</v>
      </c>
      <c r="D38" s="3" t="s">
        <v>305</v>
      </c>
      <c r="E38" s="3" t="s">
        <v>306</v>
      </c>
      <c r="F38" s="3" t="s">
        <v>307</v>
      </c>
      <c r="G38" s="3" t="s">
        <v>308</v>
      </c>
      <c r="H38" s="3" t="s">
        <v>309</v>
      </c>
      <c r="I38" s="3" t="s">
        <v>310</v>
      </c>
      <c r="J38" s="3" t="s">
        <v>171</v>
      </c>
      <c r="K38" s="3" t="s">
        <v>305</v>
      </c>
      <c r="L38" s="3" t="s">
        <v>333</v>
      </c>
      <c r="M38" s="7" t="s">
        <v>371</v>
      </c>
      <c r="N38" s="3"/>
      <c r="O38" s="3"/>
    </row>
    <row r="39" spans="1:15" ht="96.6">
      <c r="A39" s="3" t="s">
        <v>311</v>
      </c>
      <c r="B39" s="3" t="s">
        <v>195</v>
      </c>
      <c r="C39" s="3" t="s">
        <v>312</v>
      </c>
      <c r="D39" s="3" t="s">
        <v>305</v>
      </c>
      <c r="E39" s="3" t="s">
        <v>313</v>
      </c>
      <c r="F39" s="3" t="s">
        <v>314</v>
      </c>
      <c r="G39" s="3" t="s">
        <v>315</v>
      </c>
      <c r="H39" s="3" t="s">
        <v>316</v>
      </c>
      <c r="I39" s="3" t="s">
        <v>317</v>
      </c>
      <c r="J39" s="3" t="s">
        <v>171</v>
      </c>
      <c r="K39" s="3" t="s">
        <v>187</v>
      </c>
      <c r="L39" s="3" t="s">
        <v>356</v>
      </c>
      <c r="M39" s="7" t="s">
        <v>372</v>
      </c>
      <c r="N39" s="3"/>
      <c r="O39" s="3"/>
    </row>
    <row r="40" spans="1:15" ht="55.2">
      <c r="A40" s="3" t="s">
        <v>318</v>
      </c>
      <c r="B40" s="3" t="s">
        <v>107</v>
      </c>
      <c r="C40" s="3" t="s">
        <v>319</v>
      </c>
      <c r="D40" s="3" t="s">
        <v>305</v>
      </c>
      <c r="E40" s="3" t="s">
        <v>320</v>
      </c>
      <c r="F40" s="3" t="s">
        <v>321</v>
      </c>
      <c r="G40" s="3" t="s">
        <v>322</v>
      </c>
      <c r="H40" s="3" t="s">
        <v>323</v>
      </c>
      <c r="I40" s="3" t="s">
        <v>324</v>
      </c>
      <c r="J40" s="3" t="s">
        <v>24</v>
      </c>
      <c r="K40" s="3" t="s">
        <v>114</v>
      </c>
      <c r="L40" s="3" t="s">
        <v>26</v>
      </c>
      <c r="M40" s="3"/>
      <c r="N40" s="3"/>
      <c r="O40" s="3"/>
    </row>
  </sheetData>
  <conditionalFormatting sqref="L2:L40">
    <cfRule type="expression" dxfId="3" priority="1">
      <formula>L2="Passed"</formula>
    </cfRule>
    <cfRule type="expression" dxfId="2" priority="2">
      <formula>L2="Failed"</formula>
    </cfRule>
    <cfRule type="expression" dxfId="1" priority="3">
      <formula>L2="Blocked"</formula>
    </cfRule>
  </conditionalFormatting>
  <conditionalFormatting sqref="J2:J40">
    <cfRule type="expression" dxfId="0" priority="4">
      <formula>J2="Critical"</formula>
    </cfRule>
  </conditionalFormatting>
  <dataValidations count="3">
    <dataValidation type="list" sqref="J2:J40">
      <formula1>"Critical,High,Medium,Low"</formula1>
    </dataValidation>
    <dataValidation type="list" sqref="L2:L40">
      <formula1>"Not Executed,Passed,Failed,Blocked,Not Applicable"</formula1>
    </dataValidation>
    <dataValidation type="list" sqref="K2:K40">
      <formula1>"Positive,Negative,Boundary,Functional,Business Rule,Regression,Risk-Based,Integration,End-to-End"</formula1>
    </dataValidation>
  </dataValidation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dimension ref="A1:F11"/>
  <sheetViews>
    <sheetView workbookViewId="0">
      <selection sqref="A1:F1"/>
    </sheetView>
  </sheetViews>
  <sheetFormatPr defaultRowHeight="13.8"/>
  <cols>
    <col min="1" max="1" width="24" customWidth="1"/>
    <col min="2" max="2" width="14" customWidth="1"/>
    <col min="4" max="4" width="22" customWidth="1"/>
    <col min="5" max="6" width="14" customWidth="1"/>
  </cols>
  <sheetData>
    <row r="1" spans="1:6" ht="17.399999999999999">
      <c r="A1" s="11" t="s">
        <v>325</v>
      </c>
      <c r="B1" s="11"/>
      <c r="C1" s="11"/>
      <c r="D1" s="11"/>
      <c r="E1" s="11"/>
      <c r="F1" s="11"/>
    </row>
    <row r="3" spans="1:6">
      <c r="A3" s="4" t="s">
        <v>326</v>
      </c>
      <c r="B3" s="4" t="s">
        <v>327</v>
      </c>
      <c r="D3" s="4" t="s">
        <v>3</v>
      </c>
      <c r="E3" s="4" t="s">
        <v>328</v>
      </c>
      <c r="F3" s="4" t="s">
        <v>329</v>
      </c>
    </row>
    <row r="4" spans="1:6">
      <c r="A4" s="1" t="s">
        <v>330</v>
      </c>
      <c r="B4" s="1">
        <f>COUNTA('Test Cases'!A2:A40)</f>
        <v>39</v>
      </c>
      <c r="D4" s="1" t="s">
        <v>18</v>
      </c>
      <c r="E4" s="1">
        <f>COUNTIF('Test Cases'!D2:D40,D4)</f>
        <v>8</v>
      </c>
      <c r="F4" s="5">
        <f t="shared" ref="F4:F11" si="0">E4/$B$4</f>
        <v>0.20512820512820512</v>
      </c>
    </row>
    <row r="5" spans="1:6">
      <c r="A5" s="1" t="s">
        <v>331</v>
      </c>
      <c r="B5" s="1">
        <f>COUNTIF('Test Cases'!J2:J40,"Critical")</f>
        <v>11</v>
      </c>
      <c r="D5" s="1" t="s">
        <v>84</v>
      </c>
      <c r="E5" s="1">
        <f>COUNTIF('Test Cases'!D2:D40,D5)</f>
        <v>5</v>
      </c>
      <c r="F5" s="5">
        <f t="shared" si="0"/>
        <v>0.12820512820512819</v>
      </c>
    </row>
    <row r="6" spans="1:6">
      <c r="A6" s="1" t="s">
        <v>332</v>
      </c>
      <c r="B6" s="1">
        <f>COUNTIF('Test Cases'!J2:J40,"High")</f>
        <v>24</v>
      </c>
      <c r="D6" s="1" t="s">
        <v>125</v>
      </c>
      <c r="E6" s="1">
        <f>COUNTIF('Test Cases'!D2:D40,D6)</f>
        <v>5</v>
      </c>
      <c r="F6" s="5">
        <f t="shared" si="0"/>
        <v>0.12820512820512819</v>
      </c>
    </row>
    <row r="7" spans="1:6">
      <c r="A7" s="1" t="s">
        <v>333</v>
      </c>
      <c r="B7" s="1">
        <f>COUNTIF('Test Cases'!L2:L40,"Passed")</f>
        <v>23</v>
      </c>
      <c r="D7" s="1" t="s">
        <v>165</v>
      </c>
      <c r="E7" s="1">
        <f>COUNTIF('Test Cases'!D2:D40,D7)</f>
        <v>7</v>
      </c>
      <c r="F7" s="5">
        <f t="shared" si="0"/>
        <v>0.17948717948717949</v>
      </c>
    </row>
    <row r="8" spans="1:6">
      <c r="A8" s="1" t="s">
        <v>334</v>
      </c>
      <c r="B8" s="1">
        <f>COUNTIF('Test Cases'!L2:L40,"Failed")</f>
        <v>4</v>
      </c>
      <c r="D8" s="1" t="s">
        <v>221</v>
      </c>
      <c r="E8" s="1">
        <f>COUNTIF('Test Cases'!D2:D40,D8)</f>
        <v>6</v>
      </c>
      <c r="F8" s="5">
        <f t="shared" si="0"/>
        <v>0.15384615384615385</v>
      </c>
    </row>
    <row r="9" spans="1:6">
      <c r="D9" s="1" t="s">
        <v>266</v>
      </c>
      <c r="E9" s="1">
        <f>COUNTIF('Test Cases'!D2:D40,D9)</f>
        <v>3</v>
      </c>
      <c r="F9" s="5">
        <f t="shared" si="0"/>
        <v>7.6923076923076927E-2</v>
      </c>
    </row>
    <row r="10" spans="1:6">
      <c r="D10" s="1" t="s">
        <v>290</v>
      </c>
      <c r="E10" s="1">
        <f>COUNTIF('Test Cases'!D2:D40,D10)</f>
        <v>2</v>
      </c>
      <c r="F10" s="5">
        <f t="shared" si="0"/>
        <v>5.128205128205128E-2</v>
      </c>
    </row>
    <row r="11" spans="1:6">
      <c r="D11" s="1" t="s">
        <v>305</v>
      </c>
      <c r="E11" s="1">
        <f>COUNTIF('Test Cases'!D2:D40,D11)</f>
        <v>3</v>
      </c>
      <c r="F11" s="5">
        <f t="shared" si="0"/>
        <v>7.6923076923076927E-2</v>
      </c>
    </row>
  </sheetData>
  <mergeCells count="1">
    <mergeCell ref="A1:F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B7"/>
  <sheetViews>
    <sheetView workbookViewId="0"/>
  </sheetViews>
  <sheetFormatPr defaultRowHeight="13.8"/>
  <cols>
    <col min="1" max="1" width="22" customWidth="1"/>
    <col min="2" max="2" width="60" customWidth="1"/>
  </cols>
  <sheetData>
    <row r="1" spans="1:2">
      <c r="A1" s="6" t="s">
        <v>335</v>
      </c>
      <c r="B1" s="6" t="s">
        <v>336</v>
      </c>
    </row>
    <row r="2" spans="1:2">
      <c r="A2" s="1" t="s">
        <v>9</v>
      </c>
      <c r="B2" s="1" t="s">
        <v>337</v>
      </c>
    </row>
    <row r="3" spans="1:2">
      <c r="A3" s="1" t="s">
        <v>11</v>
      </c>
      <c r="B3" s="1" t="s">
        <v>338</v>
      </c>
    </row>
    <row r="4" spans="1:2" ht="27.6">
      <c r="A4" s="1" t="s">
        <v>10</v>
      </c>
      <c r="B4" s="1" t="s">
        <v>339</v>
      </c>
    </row>
    <row r="5" spans="1:2">
      <c r="A5" s="1" t="s">
        <v>340</v>
      </c>
      <c r="B5" s="1" t="s">
        <v>341</v>
      </c>
    </row>
    <row r="6" spans="1:2">
      <c r="A6" s="1" t="s">
        <v>342</v>
      </c>
      <c r="B6" s="1" t="s">
        <v>343</v>
      </c>
    </row>
    <row r="7" spans="1:2" ht="27.6">
      <c r="A7" s="1" t="s">
        <v>344</v>
      </c>
      <c r="B7" s="1" t="s">
        <v>345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3</vt:i4>
      </vt:variant>
    </vt:vector>
  </HeadingPairs>
  <TitlesOfParts>
    <vt:vector size="3" baseType="lpstr">
      <vt:lpstr>Test Cases</vt:lpstr>
      <vt:lpstr>Coverage Summary</vt:lpstr>
      <vt:lpstr>Lists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modified xsi:type="dcterms:W3CDTF">2026-09-11T09:09:01Z</dcterms:modified>
</cp:coreProperties>
</file>