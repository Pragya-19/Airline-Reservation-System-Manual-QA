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3406e7f46b43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fect Log" sheetId="1" r:id="Rc5e3c556ff6e440c"/>
    <x:sheet xmlns:r="http://schemas.openxmlformats.org/officeDocument/2006/relationships" name="Summary" sheetId="2" r:id="R89c67010535b412c"/>
    <x:sheet xmlns:r="http://schemas.openxmlformats.org/officeDocument/2006/relationships" name="Lists" sheetId="3" r:id="R429798a77fe44e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5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  <x:font>
      <x:b/>
      <x:sz val="13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EAF2F8"/>
      </x:patternFill>
    </x:fill>
    <x:fill>
      <x:patternFill patternType="solid">
        <x:fgColor rgb="FF163A63"/>
      </x:patternFill>
    </x:fill>
  </x:fills>
  <x:borders count="2">
    <x:border/>
    <x:border/>
  </x:borders>
  <x:cellStyleXfs count="1">
    <x:xf numFmtId="0" fontId="0" fillId="0" borderId="0"/>
  </x:cellStyleXfs>
  <x:cellXfs count="4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6"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2400E"/>
      </x:font>
      <x:fill>
        <x:patternFill patternType="solid">
          <x:bgColor rgb="FFFDE68A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50ef17a34046d5" /><Relationship Type="http://schemas.openxmlformats.org/officeDocument/2006/relationships/theme" Target="/xl/theme/theme1.xml" Id="Rdddbcdc1058e4889" /><Relationship Type="http://schemas.openxmlformats.org/officeDocument/2006/relationships/sharedStrings" Target="/xl/sharedStrings.xml" Id="R017e709312c24974" /><Relationship Type="http://schemas.openxmlformats.org/officeDocument/2006/relationships/worksheet" Target="/xl/worksheets/sheet1.xml" Id="Rc5e3c556ff6e440c" /><Relationship Type="http://schemas.openxmlformats.org/officeDocument/2006/relationships/worksheet" Target="/xl/worksheets/sheet2.xml" Id="R89c67010535b412c" /><Relationship Type="http://schemas.openxmlformats.org/officeDocument/2006/relationships/worksheet" Target="/xl/worksheets/sheet3.xml" Id="R429798a77fe44e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3b15a35f37444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Defects by Module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Defects</c:v>
          </c:tx>
          <c:cat>
            <c:strRef>
              <c:f>'Summary'!$D$4:$D$11</c:f>
              <c:strCache>
                <c:ptCount val="0"/>
              </c:strCache>
            </c:strRef>
          </c:cat>
          <c:val>
            <c:numRef>
              <c:f>'Summary'!$E$4:$E$11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3b15a35f37444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fectLogTable" displayName="DefectLogTable" ref="A4:V34" headerRowCount="1" totalsRowCount="0" totalsRowShown="0">
  <x:tableColumns count="22">
    <x:tableColumn id="1" name="Defect ID"/>
    <x:tableColumn id="2" name="Date Logged"/>
    <x:tableColumn id="3" name="Module"/>
    <x:tableColumn id="4" name="Requirement ID"/>
    <x:tableColumn id="5" name="Test Case ID"/>
    <x:tableColumn id="6" name="Defect Title"/>
    <x:tableColumn id="7" name="Environment"/>
    <x:tableColumn id="8" name="Build / URL"/>
    <x:tableColumn id="9" name="Preconditions"/>
    <x:tableColumn id="10" name="Steps to Reproduce"/>
    <x:tableColumn id="11" name="Test Data"/>
    <x:tableColumn id="12" name="Expected Result"/>
    <x:tableColumn id="13" name="Actual Result"/>
    <x:tableColumn id="14" name="Severity"/>
    <x:tableColumn id="15" name="Priority"/>
    <x:tableColumn id="16" name="Status"/>
    <x:tableColumn id="17" name="Reproducibility"/>
    <x:tableColumn id="18" name="Evidence / Screenshot"/>
    <x:tableColumn id="19" name="Assigned To"/>
    <x:tableColumn id="20" name="Resolution / Comments"/>
    <x:tableColumn id="21" name="Retest Status"/>
    <x:tableColumn id="22" name="Closed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dfaa5a94c9341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c0f6bee0c134956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3" hidden="0" customWidth="1"/>
    <x:col min="3" max="3" width="18" hidden="0" customWidth="1"/>
    <x:col min="4" max="4" width="15" hidden="0" customWidth="1"/>
    <x:col min="5" max="5" width="15" hidden="0" customWidth="1"/>
    <x:col min="6" max="6" width="38" hidden="0" customWidth="1"/>
    <x:col min="7" max="7" width="24" hidden="0" customWidth="1"/>
    <x:col min="8" max="8" width="28" hidden="0" customWidth="1"/>
    <x:col min="9" max="9" width="30" hidden="0" customWidth="1"/>
    <x:col min="10" max="10" width="45" hidden="0" customWidth="1"/>
    <x:col min="11" max="11" width="28" hidden="0" customWidth="1"/>
    <x:col min="12" max="12" width="38" hidden="0" customWidth="1"/>
    <x:col min="13" max="13" width="38" hidden="0" customWidth="1"/>
    <x:col min="14" max="14" width="12" hidden="0" customWidth="1"/>
    <x:col min="15" max="15" width="12" hidden="0" customWidth="1"/>
    <x:col min="16" max="16" width="16" hidden="0" customWidth="1"/>
    <x:col min="17" max="17" width="16" hidden="0" customWidth="1"/>
    <x:col min="18" max="18" width="26" hidden="0" customWidth="1"/>
    <x:col min="19" max="19" width="18" hidden="0" customWidth="1"/>
    <x:col min="20" max="20" width="35" hidden="0" customWidth="1"/>
    <x:col min="21" max="21" width="16" hidden="0" customWidth="1"/>
    <x:col min="22" max="22" width="13" hidden="0" customWidth="1"/>
  </x:cols>
  <x:sheetData>
    <x:row r="1">
      <x:c r="A1" s="5" t="str">
        <x:v>Airline Reservation System - Defect Report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</x:row>
    <x:row r="2">
      <x:c r="A2" s="14" t="str">
        <x:v>Use this log only for defects actually observed during execution. Do not record design-level scenarios as real defects.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</x:row>
    <x:row r="4">
      <x:c r="A4" s="32" t="str">
        <x:v>Defect ID</x:v>
      </x:c>
      <x:c r="B4" s="32" t="str">
        <x:v>Date Logged</x:v>
      </x:c>
      <x:c r="C4" s="32" t="str">
        <x:v>Module</x:v>
      </x:c>
      <x:c r="D4" s="32" t="str">
        <x:v>Requirement ID</x:v>
      </x:c>
      <x:c r="E4" s="32" t="str">
        <x:v>Test Case ID</x:v>
      </x:c>
      <x:c r="F4" s="32" t="str">
        <x:v>Defect Title</x:v>
      </x:c>
      <x:c r="G4" s="32" t="str">
        <x:v>Environment</x:v>
      </x:c>
      <x:c r="H4" s="32" t="str">
        <x:v>Build / URL</x:v>
      </x:c>
      <x:c r="I4" s="32" t="str">
        <x:v>Preconditions</x:v>
      </x:c>
      <x:c r="J4" s="32" t="str">
        <x:v>Steps to Reproduce</x:v>
      </x:c>
      <x:c r="K4" s="32" t="str">
        <x:v>Test Data</x:v>
      </x:c>
      <x:c r="L4" s="32" t="str">
        <x:v>Expected Result</x:v>
      </x:c>
      <x:c r="M4" s="32" t="str">
        <x:v>Actual Result</x:v>
      </x:c>
      <x:c r="N4" s="32" t="str">
        <x:v>Severity</x:v>
      </x:c>
      <x:c r="O4" s="32" t="str">
        <x:v>Priority</x:v>
      </x:c>
      <x:c r="P4" s="32" t="str">
        <x:v>Status</x:v>
      </x:c>
      <x:c r="Q4" s="32" t="str">
        <x:v>Reproducibility</x:v>
      </x:c>
      <x:c r="R4" s="32" t="str">
        <x:v>Evidence / Screenshot</x:v>
      </x:c>
      <x:c r="S4" s="32" t="str">
        <x:v>Assigned To</x:v>
      </x:c>
      <x:c r="T4" s="32" t="str">
        <x:v>Resolution / Comments</x:v>
      </x:c>
      <x:c r="U4" s="32" t="str">
        <x:v>Retest Status</x:v>
      </x:c>
      <x:c r="V4" s="32" t="str">
        <x:v>Closed Date</x:v>
      </x:c>
    </x:row>
    <x:row r="5">
      <x:c r="A5" s="33" t="str"/>
      <x:c r="B5" s="36" t="str"/>
      <x:c r="C5" s="33" t="str"/>
      <x:c r="D5" s="33" t="str"/>
      <x:c r="E5" s="33" t="str"/>
      <x:c r="F5" s="33" t="str"/>
      <x:c r="G5" s="33" t="str"/>
      <x:c r="H5" s="33" t="str"/>
      <x:c r="I5" s="33" t="str"/>
      <x:c r="J5" s="33" t="str"/>
      <x:c r="K5" s="33" t="str"/>
      <x:c r="L5" s="33" t="str"/>
      <x:c r="M5" s="33" t="str"/>
      <x:c r="N5" s="33" t="str"/>
      <x:c r="O5" s="33" t="str"/>
      <x:c r="P5" s="33" t="str"/>
      <x:c r="Q5" s="33" t="str"/>
      <x:c r="R5" s="33" t="str"/>
      <x:c r="S5" s="33" t="str"/>
      <x:c r="T5" s="33" t="str"/>
      <x:c r="U5" s="33" t="str"/>
      <x:c r="V5" s="36" t="str"/>
    </x:row>
    <x:row r="6">
      <x:c r="A6" s="33" t="str"/>
      <x:c r="B6" s="36" t="str"/>
      <x:c r="C6" s="33" t="str"/>
      <x:c r="D6" s="33" t="str"/>
      <x:c r="E6" s="33" t="str"/>
      <x:c r="F6" s="33" t="str"/>
      <x:c r="G6" s="33" t="str"/>
      <x:c r="H6" s="33" t="str"/>
      <x:c r="I6" s="33" t="str"/>
      <x:c r="J6" s="33" t="str"/>
      <x:c r="K6" s="33" t="str"/>
      <x:c r="L6" s="33" t="str"/>
      <x:c r="M6" s="33" t="str"/>
      <x:c r="N6" s="33" t="str"/>
      <x:c r="O6" s="33" t="str"/>
      <x:c r="P6" s="33" t="str"/>
      <x:c r="Q6" s="33" t="str"/>
      <x:c r="R6" s="33" t="str"/>
      <x:c r="S6" s="33" t="str"/>
      <x:c r="T6" s="33" t="str"/>
      <x:c r="U6" s="33" t="str"/>
      <x:c r="V6" s="36" t="str"/>
    </x:row>
    <x:row r="7">
      <x:c r="A7" s="33" t="str"/>
      <x:c r="B7" s="36" t="str"/>
      <x:c r="C7" s="33" t="str"/>
      <x:c r="D7" s="33" t="str"/>
      <x:c r="E7" s="33" t="str"/>
      <x:c r="F7" s="33" t="str"/>
      <x:c r="G7" s="33" t="str"/>
      <x:c r="H7" s="33" t="str"/>
      <x:c r="I7" s="33" t="str"/>
      <x:c r="J7" s="33" t="str"/>
      <x:c r="K7" s="33" t="str"/>
      <x:c r="L7" s="33" t="str"/>
      <x:c r="M7" s="33" t="str"/>
      <x:c r="N7" s="33" t="str"/>
      <x:c r="O7" s="33" t="str"/>
      <x:c r="P7" s="33" t="str"/>
      <x:c r="Q7" s="33" t="str"/>
      <x:c r="R7" s="33" t="str"/>
      <x:c r="S7" s="33" t="str"/>
      <x:c r="T7" s="33" t="str"/>
      <x:c r="U7" s="33" t="str"/>
      <x:c r="V7" s="36" t="str"/>
    </x:row>
    <x:row r="8">
      <x:c r="A8" s="33" t="str"/>
      <x:c r="B8" s="36" t="str"/>
      <x:c r="C8" s="33" t="str"/>
      <x:c r="D8" s="33" t="str"/>
      <x:c r="E8" s="33" t="str"/>
      <x:c r="F8" s="33" t="str"/>
      <x:c r="G8" s="33" t="str"/>
      <x:c r="H8" s="33" t="str"/>
      <x:c r="I8" s="33" t="str"/>
      <x:c r="J8" s="33" t="str"/>
      <x:c r="K8" s="33" t="str"/>
      <x:c r="L8" s="33" t="str"/>
      <x:c r="M8" s="33" t="str"/>
      <x:c r="N8" s="33" t="str"/>
      <x:c r="O8" s="33" t="str"/>
      <x:c r="P8" s="33" t="str"/>
      <x:c r="Q8" s="33" t="str"/>
      <x:c r="R8" s="33" t="str"/>
      <x:c r="S8" s="33" t="str"/>
      <x:c r="T8" s="33" t="str"/>
      <x:c r="U8" s="33" t="str"/>
      <x:c r="V8" s="36" t="str"/>
    </x:row>
    <x:row r="9">
      <x:c r="A9" s="33" t="str"/>
      <x:c r="B9" s="36" t="str"/>
      <x:c r="C9" s="33" t="str"/>
      <x:c r="D9" s="33" t="str"/>
      <x:c r="E9" s="33" t="str"/>
      <x:c r="F9" s="33" t="str"/>
      <x:c r="G9" s="33" t="str"/>
      <x:c r="H9" s="33" t="str"/>
      <x:c r="I9" s="33" t="str"/>
      <x:c r="J9" s="33" t="str"/>
      <x:c r="K9" s="33" t="str"/>
      <x:c r="L9" s="33" t="str"/>
      <x:c r="M9" s="33" t="str"/>
      <x:c r="N9" s="33" t="str"/>
      <x:c r="O9" s="33" t="str"/>
      <x:c r="P9" s="33" t="str"/>
      <x:c r="Q9" s="33" t="str"/>
      <x:c r="R9" s="33" t="str"/>
      <x:c r="S9" s="33" t="str"/>
      <x:c r="T9" s="33" t="str"/>
      <x:c r="U9" s="33" t="str"/>
      <x:c r="V9" s="36" t="str"/>
    </x:row>
    <x:row r="10">
      <x:c r="A10" s="33" t="str"/>
      <x:c r="B10" s="36" t="str"/>
      <x:c r="C10" s="33" t="str"/>
      <x:c r="D10" s="33" t="str"/>
      <x:c r="E10" s="33" t="str"/>
      <x:c r="F10" s="33" t="str"/>
      <x:c r="G10" s="33" t="str"/>
      <x:c r="H10" s="33" t="str"/>
      <x:c r="I10" s="33" t="str"/>
      <x:c r="J10" s="33" t="str"/>
      <x:c r="K10" s="33" t="str"/>
      <x:c r="L10" s="33" t="str"/>
      <x:c r="M10" s="33" t="str"/>
      <x:c r="N10" s="33" t="str"/>
      <x:c r="O10" s="33" t="str"/>
      <x:c r="P10" s="33" t="str"/>
      <x:c r="Q10" s="33" t="str"/>
      <x:c r="R10" s="33" t="str"/>
      <x:c r="S10" s="33" t="str"/>
      <x:c r="T10" s="33" t="str"/>
      <x:c r="U10" s="33" t="str"/>
      <x:c r="V10" s="36" t="str"/>
    </x:row>
    <x:row r="11">
      <x:c r="A11" s="33" t="str"/>
      <x:c r="B11" s="36" t="str"/>
      <x:c r="C11" s="33" t="str"/>
      <x:c r="D11" s="33" t="str"/>
      <x:c r="E11" s="33" t="str"/>
      <x:c r="F11" s="33" t="str"/>
      <x:c r="G11" s="33" t="str"/>
      <x:c r="H11" s="33" t="str"/>
      <x:c r="I11" s="33" t="str"/>
      <x:c r="J11" s="33" t="str"/>
      <x:c r="K11" s="33" t="str"/>
      <x:c r="L11" s="33" t="str"/>
      <x:c r="M11" s="33" t="str"/>
      <x:c r="N11" s="33" t="str"/>
      <x:c r="O11" s="33" t="str"/>
      <x:c r="P11" s="33" t="str"/>
      <x:c r="Q11" s="33" t="str"/>
      <x:c r="R11" s="33" t="str"/>
      <x:c r="S11" s="33" t="str"/>
      <x:c r="T11" s="33" t="str"/>
      <x:c r="U11" s="33" t="str"/>
      <x:c r="V11" s="36" t="str"/>
    </x:row>
    <x:row r="12">
      <x:c r="A12" s="33" t="str"/>
      <x:c r="B12" s="36" t="str"/>
      <x:c r="C12" s="33" t="str"/>
      <x:c r="D12" s="33" t="str"/>
      <x:c r="E12" s="33" t="str"/>
      <x:c r="F12" s="33" t="str"/>
      <x:c r="G12" s="33" t="str"/>
      <x:c r="H12" s="33" t="str"/>
      <x:c r="I12" s="33" t="str"/>
      <x:c r="J12" s="33" t="str"/>
      <x:c r="K12" s="33" t="str"/>
      <x:c r="L12" s="33" t="str"/>
      <x:c r="M12" s="33" t="str"/>
      <x:c r="N12" s="33" t="str"/>
      <x:c r="O12" s="33" t="str"/>
      <x:c r="P12" s="33" t="str"/>
      <x:c r="Q12" s="33" t="str"/>
      <x:c r="R12" s="33" t="str"/>
      <x:c r="S12" s="33" t="str"/>
      <x:c r="T12" s="33" t="str"/>
      <x:c r="U12" s="33" t="str"/>
      <x:c r="V12" s="36" t="str"/>
    </x:row>
    <x:row r="13">
      <x:c r="A13" s="33" t="str"/>
      <x:c r="B13" s="36" t="str"/>
      <x:c r="C13" s="33" t="str"/>
      <x:c r="D13" s="33" t="str"/>
      <x:c r="E13" s="33" t="str"/>
      <x:c r="F13" s="33" t="str"/>
      <x:c r="G13" s="33" t="str"/>
      <x:c r="H13" s="33" t="str"/>
      <x:c r="I13" s="33" t="str"/>
      <x:c r="J13" s="33" t="str"/>
      <x:c r="K13" s="33" t="str"/>
      <x:c r="L13" s="33" t="str"/>
      <x:c r="M13" s="33" t="str"/>
      <x:c r="N13" s="33" t="str"/>
      <x:c r="O13" s="33" t="str"/>
      <x:c r="P13" s="33" t="str"/>
      <x:c r="Q13" s="33" t="str"/>
      <x:c r="R13" s="33" t="str"/>
      <x:c r="S13" s="33" t="str"/>
      <x:c r="T13" s="33" t="str"/>
      <x:c r="U13" s="33" t="str"/>
      <x:c r="V13" s="36" t="str"/>
    </x:row>
    <x:row r="14">
      <x:c r="A14" s="33" t="str"/>
      <x:c r="B14" s="36" t="str"/>
      <x:c r="C14" s="33" t="str"/>
      <x:c r="D14" s="33" t="str"/>
      <x:c r="E14" s="33" t="str"/>
      <x:c r="F14" s="33" t="str"/>
      <x:c r="G14" s="33" t="str"/>
      <x:c r="H14" s="33" t="str"/>
      <x:c r="I14" s="33" t="str"/>
      <x:c r="J14" s="33" t="str"/>
      <x:c r="K14" s="33" t="str"/>
      <x:c r="L14" s="33" t="str"/>
      <x:c r="M14" s="33" t="str"/>
      <x:c r="N14" s="33" t="str"/>
      <x:c r="O14" s="33" t="str"/>
      <x:c r="P14" s="33" t="str"/>
      <x:c r="Q14" s="33" t="str"/>
      <x:c r="R14" s="33" t="str"/>
      <x:c r="S14" s="33" t="str"/>
      <x:c r="T14" s="33" t="str"/>
      <x:c r="U14" s="33" t="str"/>
      <x:c r="V14" s="36" t="str"/>
    </x:row>
    <x:row r="15">
      <x:c r="A15" s="33" t="str"/>
      <x:c r="B15" s="36" t="str"/>
      <x:c r="C15" s="33" t="str"/>
      <x:c r="D15" s="33" t="str"/>
      <x:c r="E15" s="33" t="str"/>
      <x:c r="F15" s="33" t="str"/>
      <x:c r="G15" s="33" t="str"/>
      <x:c r="H15" s="33" t="str"/>
      <x:c r="I15" s="33" t="str"/>
      <x:c r="J15" s="33" t="str"/>
      <x:c r="K15" s="33" t="str"/>
      <x:c r="L15" s="33" t="str"/>
      <x:c r="M15" s="33" t="str"/>
      <x:c r="N15" s="33" t="str"/>
      <x:c r="O15" s="33" t="str"/>
      <x:c r="P15" s="33" t="str"/>
      <x:c r="Q15" s="33" t="str"/>
      <x:c r="R15" s="33" t="str"/>
      <x:c r="S15" s="33" t="str"/>
      <x:c r="T15" s="33" t="str"/>
      <x:c r="U15" s="33" t="str"/>
      <x:c r="V15" s="36" t="str"/>
    </x:row>
    <x:row r="16">
      <x:c r="A16" s="33" t="str"/>
      <x:c r="B16" s="36" t="str"/>
      <x:c r="C16" s="33" t="str"/>
      <x:c r="D16" s="33" t="str"/>
      <x:c r="E16" s="33" t="str"/>
      <x:c r="F16" s="33" t="str"/>
      <x:c r="G16" s="33" t="str"/>
      <x:c r="H16" s="33" t="str"/>
      <x:c r="I16" s="33" t="str"/>
      <x:c r="J16" s="33" t="str"/>
      <x:c r="K16" s="33" t="str"/>
      <x:c r="L16" s="33" t="str"/>
      <x:c r="M16" s="33" t="str"/>
      <x:c r="N16" s="33" t="str"/>
      <x:c r="O16" s="33" t="str"/>
      <x:c r="P16" s="33" t="str"/>
      <x:c r="Q16" s="33" t="str"/>
      <x:c r="R16" s="33" t="str"/>
      <x:c r="S16" s="33" t="str"/>
      <x:c r="T16" s="33" t="str"/>
      <x:c r="U16" s="33" t="str"/>
      <x:c r="V16" s="36" t="str"/>
    </x:row>
    <x:row r="17">
      <x:c r="A17" s="33" t="str"/>
      <x:c r="B17" s="36" t="str"/>
      <x:c r="C17" s="33" t="str"/>
      <x:c r="D17" s="33" t="str"/>
      <x:c r="E17" s="33" t="str"/>
      <x:c r="F17" s="33" t="str"/>
      <x:c r="G17" s="33" t="str"/>
      <x:c r="H17" s="33" t="str"/>
      <x:c r="I17" s="33" t="str"/>
      <x:c r="J17" s="33" t="str"/>
      <x:c r="K17" s="33" t="str"/>
      <x:c r="L17" s="33" t="str"/>
      <x:c r="M17" s="33" t="str"/>
      <x:c r="N17" s="33" t="str"/>
      <x:c r="O17" s="33" t="str"/>
      <x:c r="P17" s="33" t="str"/>
      <x:c r="Q17" s="33" t="str"/>
      <x:c r="R17" s="33" t="str"/>
      <x:c r="S17" s="33" t="str"/>
      <x:c r="T17" s="33" t="str"/>
      <x:c r="U17" s="33" t="str"/>
      <x:c r="V17" s="36" t="str"/>
    </x:row>
    <x:row r="18">
      <x:c r="A18" s="33" t="str"/>
      <x:c r="B18" s="36" t="str"/>
      <x:c r="C18" s="33" t="str"/>
      <x:c r="D18" s="33" t="str"/>
      <x:c r="E18" s="33" t="str"/>
      <x:c r="F18" s="33" t="str"/>
      <x:c r="G18" s="33" t="str"/>
      <x:c r="H18" s="33" t="str"/>
      <x:c r="I18" s="33" t="str"/>
      <x:c r="J18" s="33" t="str"/>
      <x:c r="K18" s="33" t="str"/>
      <x:c r="L18" s="33" t="str"/>
      <x:c r="M18" s="33" t="str"/>
      <x:c r="N18" s="33" t="str"/>
      <x:c r="O18" s="33" t="str"/>
      <x:c r="P18" s="33" t="str"/>
      <x:c r="Q18" s="33" t="str"/>
      <x:c r="R18" s="33" t="str"/>
      <x:c r="S18" s="33" t="str"/>
      <x:c r="T18" s="33" t="str"/>
      <x:c r="U18" s="33" t="str"/>
      <x:c r="V18" s="36" t="str"/>
    </x:row>
    <x:row r="19">
      <x:c r="A19" s="33" t="str"/>
      <x:c r="B19" s="36" t="str"/>
      <x:c r="C19" s="33" t="str"/>
      <x:c r="D19" s="33" t="str"/>
      <x:c r="E19" s="33" t="str"/>
      <x:c r="F19" s="33" t="str"/>
      <x:c r="G19" s="33" t="str"/>
      <x:c r="H19" s="33" t="str"/>
      <x:c r="I19" s="33" t="str"/>
      <x:c r="J19" s="33" t="str"/>
      <x:c r="K19" s="33" t="str"/>
      <x:c r="L19" s="33" t="str"/>
      <x:c r="M19" s="33" t="str"/>
      <x:c r="N19" s="33" t="str"/>
      <x:c r="O19" s="33" t="str"/>
      <x:c r="P19" s="33" t="str"/>
      <x:c r="Q19" s="33" t="str"/>
      <x:c r="R19" s="33" t="str"/>
      <x:c r="S19" s="33" t="str"/>
      <x:c r="T19" s="33" t="str"/>
      <x:c r="U19" s="33" t="str"/>
      <x:c r="V19" s="36" t="str"/>
    </x:row>
    <x:row r="20">
      <x:c r="A20" s="33" t="str"/>
      <x:c r="B20" s="36" t="str"/>
      <x:c r="C20" s="33" t="str"/>
      <x:c r="D20" s="33" t="str"/>
      <x:c r="E20" s="33" t="str"/>
      <x:c r="F20" s="33" t="str"/>
      <x:c r="G20" s="33" t="str"/>
      <x:c r="H20" s="33" t="str"/>
      <x:c r="I20" s="33" t="str"/>
      <x:c r="J20" s="33" t="str"/>
      <x:c r="K20" s="33" t="str"/>
      <x:c r="L20" s="33" t="str"/>
      <x:c r="M20" s="33" t="str"/>
      <x:c r="N20" s="33" t="str"/>
      <x:c r="O20" s="33" t="str"/>
      <x:c r="P20" s="33" t="str"/>
      <x:c r="Q20" s="33" t="str"/>
      <x:c r="R20" s="33" t="str"/>
      <x:c r="S20" s="33" t="str"/>
      <x:c r="T20" s="33" t="str"/>
      <x:c r="U20" s="33" t="str"/>
      <x:c r="V20" s="36" t="str"/>
    </x:row>
    <x:row r="21">
      <x:c r="A21" s="33" t="str"/>
      <x:c r="B21" s="36" t="str"/>
      <x:c r="C21" s="33" t="str"/>
      <x:c r="D21" s="33" t="str"/>
      <x:c r="E21" s="33" t="str"/>
      <x:c r="F21" s="33" t="str"/>
      <x:c r="G21" s="33" t="str"/>
      <x:c r="H21" s="33" t="str"/>
      <x:c r="I21" s="33" t="str"/>
      <x:c r="J21" s="33" t="str"/>
      <x:c r="K21" s="33" t="str"/>
      <x:c r="L21" s="33" t="str"/>
      <x:c r="M21" s="33" t="str"/>
      <x:c r="N21" s="33" t="str"/>
      <x:c r="O21" s="33" t="str"/>
      <x:c r="P21" s="33" t="str"/>
      <x:c r="Q21" s="33" t="str"/>
      <x:c r="R21" s="33" t="str"/>
      <x:c r="S21" s="33" t="str"/>
      <x:c r="T21" s="33" t="str"/>
      <x:c r="U21" s="33" t="str"/>
      <x:c r="V21" s="36" t="str"/>
    </x:row>
    <x:row r="22">
      <x:c r="A22" s="33" t="str"/>
      <x:c r="B22" s="36" t="str"/>
      <x:c r="C22" s="33" t="str"/>
      <x:c r="D22" s="33" t="str"/>
      <x:c r="E22" s="33" t="str"/>
      <x:c r="F22" s="33" t="str"/>
      <x:c r="G22" s="33" t="str"/>
      <x:c r="H22" s="33" t="str"/>
      <x:c r="I22" s="33" t="str"/>
      <x:c r="J22" s="33" t="str"/>
      <x:c r="K22" s="33" t="str"/>
      <x:c r="L22" s="33" t="str"/>
      <x:c r="M22" s="33" t="str"/>
      <x:c r="N22" s="33" t="str"/>
      <x:c r="O22" s="33" t="str"/>
      <x:c r="P22" s="33" t="str"/>
      <x:c r="Q22" s="33" t="str"/>
      <x:c r="R22" s="33" t="str"/>
      <x:c r="S22" s="33" t="str"/>
      <x:c r="T22" s="33" t="str"/>
      <x:c r="U22" s="33" t="str"/>
      <x:c r="V22" s="36" t="str"/>
    </x:row>
    <x:row r="23">
      <x:c r="A23" s="33" t="str"/>
      <x:c r="B23" s="36" t="str"/>
      <x:c r="C23" s="33" t="str"/>
      <x:c r="D23" s="33" t="str"/>
      <x:c r="E23" s="33" t="str"/>
      <x:c r="F23" s="33" t="str"/>
      <x:c r="G23" s="33" t="str"/>
      <x:c r="H23" s="33" t="str"/>
      <x:c r="I23" s="33" t="str"/>
      <x:c r="J23" s="33" t="str"/>
      <x:c r="K23" s="33" t="str"/>
      <x:c r="L23" s="33" t="str"/>
      <x:c r="M23" s="33" t="str"/>
      <x:c r="N23" s="33" t="str"/>
      <x:c r="O23" s="33" t="str"/>
      <x:c r="P23" s="33" t="str"/>
      <x:c r="Q23" s="33" t="str"/>
      <x:c r="R23" s="33" t="str"/>
      <x:c r="S23" s="33" t="str"/>
      <x:c r="T23" s="33" t="str"/>
      <x:c r="U23" s="33" t="str"/>
      <x:c r="V23" s="36" t="str"/>
    </x:row>
    <x:row r="24">
      <x:c r="A24" s="33" t="str"/>
      <x:c r="B24" s="36" t="str"/>
      <x:c r="C24" s="33" t="str"/>
      <x:c r="D24" s="33" t="str"/>
      <x:c r="E24" s="33" t="str"/>
      <x:c r="F24" s="33" t="str"/>
      <x:c r="G24" s="33" t="str"/>
      <x:c r="H24" s="33" t="str"/>
      <x:c r="I24" s="33" t="str"/>
      <x:c r="J24" s="33" t="str"/>
      <x:c r="K24" s="33" t="str"/>
      <x:c r="L24" s="33" t="str"/>
      <x:c r="M24" s="33" t="str"/>
      <x:c r="N24" s="33" t="str"/>
      <x:c r="O24" s="33" t="str"/>
      <x:c r="P24" s="33" t="str"/>
      <x:c r="Q24" s="33" t="str"/>
      <x:c r="R24" s="33" t="str"/>
      <x:c r="S24" s="33" t="str"/>
      <x:c r="T24" s="33" t="str"/>
      <x:c r="U24" s="33" t="str"/>
      <x:c r="V24" s="36" t="str"/>
    </x:row>
    <x:row r="25">
      <x:c r="A25" s="33" t="str"/>
      <x:c r="B25" s="36" t="str"/>
      <x:c r="C25" s="33" t="str"/>
      <x:c r="D25" s="33" t="str"/>
      <x:c r="E25" s="33" t="str"/>
      <x:c r="F25" s="33" t="str"/>
      <x:c r="G25" s="33" t="str"/>
      <x:c r="H25" s="33" t="str"/>
      <x:c r="I25" s="33" t="str"/>
      <x:c r="J25" s="33" t="str"/>
      <x:c r="K25" s="33" t="str"/>
      <x:c r="L25" s="33" t="str"/>
      <x:c r="M25" s="33" t="str"/>
      <x:c r="N25" s="33" t="str"/>
      <x:c r="O25" s="33" t="str"/>
      <x:c r="P25" s="33" t="str"/>
      <x:c r="Q25" s="33" t="str"/>
      <x:c r="R25" s="33" t="str"/>
      <x:c r="S25" s="33" t="str"/>
      <x:c r="T25" s="33" t="str"/>
      <x:c r="U25" s="33" t="str"/>
      <x:c r="V25" s="36" t="str"/>
    </x:row>
    <x:row r="26">
      <x:c r="A26" s="33" t="str"/>
      <x:c r="B26" s="36" t="str"/>
      <x:c r="C26" s="33" t="str"/>
      <x:c r="D26" s="33" t="str"/>
      <x:c r="E26" s="33" t="str"/>
      <x:c r="F26" s="33" t="str"/>
      <x:c r="G26" s="33" t="str"/>
      <x:c r="H26" s="33" t="str"/>
      <x:c r="I26" s="33" t="str"/>
      <x:c r="J26" s="33" t="str"/>
      <x:c r="K26" s="33" t="str"/>
      <x:c r="L26" s="33" t="str"/>
      <x:c r="M26" s="33" t="str"/>
      <x:c r="N26" s="33" t="str"/>
      <x:c r="O26" s="33" t="str"/>
      <x:c r="P26" s="33" t="str"/>
      <x:c r="Q26" s="33" t="str"/>
      <x:c r="R26" s="33" t="str"/>
      <x:c r="S26" s="33" t="str"/>
      <x:c r="T26" s="33" t="str"/>
      <x:c r="U26" s="33" t="str"/>
      <x:c r="V26" s="36" t="str"/>
    </x:row>
    <x:row r="27">
      <x:c r="A27" s="33" t="str"/>
      <x:c r="B27" s="36" t="str"/>
      <x:c r="C27" s="33" t="str"/>
      <x:c r="D27" s="33" t="str"/>
      <x:c r="E27" s="33" t="str"/>
      <x:c r="F27" s="33" t="str"/>
      <x:c r="G27" s="33" t="str"/>
      <x:c r="H27" s="33" t="str"/>
      <x:c r="I27" s="33" t="str"/>
      <x:c r="J27" s="33" t="str"/>
      <x:c r="K27" s="33" t="str"/>
      <x:c r="L27" s="33" t="str"/>
      <x:c r="M27" s="33" t="str"/>
      <x:c r="N27" s="33" t="str"/>
      <x:c r="O27" s="33" t="str"/>
      <x:c r="P27" s="33" t="str"/>
      <x:c r="Q27" s="33" t="str"/>
      <x:c r="R27" s="33" t="str"/>
      <x:c r="S27" s="33" t="str"/>
      <x:c r="T27" s="33" t="str"/>
      <x:c r="U27" s="33" t="str"/>
      <x:c r="V27" s="36" t="str"/>
    </x:row>
    <x:row r="28">
      <x:c r="A28" s="33" t="str"/>
      <x:c r="B28" s="36" t="str"/>
      <x:c r="C28" s="33" t="str"/>
      <x:c r="D28" s="33" t="str"/>
      <x:c r="E28" s="33" t="str"/>
      <x:c r="F28" s="33" t="str"/>
      <x:c r="G28" s="33" t="str"/>
      <x:c r="H28" s="33" t="str"/>
      <x:c r="I28" s="33" t="str"/>
      <x:c r="J28" s="33" t="str"/>
      <x:c r="K28" s="33" t="str"/>
      <x:c r="L28" s="33" t="str"/>
      <x:c r="M28" s="33" t="str"/>
      <x:c r="N28" s="33" t="str"/>
      <x:c r="O28" s="33" t="str"/>
      <x:c r="P28" s="33" t="str"/>
      <x:c r="Q28" s="33" t="str"/>
      <x:c r="R28" s="33" t="str"/>
      <x:c r="S28" s="33" t="str"/>
      <x:c r="T28" s="33" t="str"/>
      <x:c r="U28" s="33" t="str"/>
      <x:c r="V28" s="36" t="str"/>
    </x:row>
    <x:row r="29">
      <x:c r="A29" s="33" t="str"/>
      <x:c r="B29" s="36" t="str"/>
      <x:c r="C29" s="33" t="str"/>
      <x:c r="D29" s="33" t="str"/>
      <x:c r="E29" s="33" t="str"/>
      <x:c r="F29" s="33" t="str"/>
      <x:c r="G29" s="33" t="str"/>
      <x:c r="H29" s="33" t="str"/>
      <x:c r="I29" s="33" t="str"/>
      <x:c r="J29" s="33" t="str"/>
      <x:c r="K29" s="33" t="str"/>
      <x:c r="L29" s="33" t="str"/>
      <x:c r="M29" s="33" t="str"/>
      <x:c r="N29" s="33" t="str"/>
      <x:c r="O29" s="33" t="str"/>
      <x:c r="P29" s="33" t="str"/>
      <x:c r="Q29" s="33" t="str"/>
      <x:c r="R29" s="33" t="str"/>
      <x:c r="S29" s="33" t="str"/>
      <x:c r="T29" s="33" t="str"/>
      <x:c r="U29" s="33" t="str"/>
      <x:c r="V29" s="36" t="str"/>
    </x:row>
    <x:row r="30">
      <x:c r="A30" s="33" t="str"/>
      <x:c r="B30" s="36" t="str"/>
      <x:c r="C30" s="33" t="str"/>
      <x:c r="D30" s="33" t="str"/>
      <x:c r="E30" s="33" t="str"/>
      <x:c r="F30" s="33" t="str"/>
      <x:c r="G30" s="33" t="str"/>
      <x:c r="H30" s="33" t="str"/>
      <x:c r="I30" s="33" t="str"/>
      <x:c r="J30" s="33" t="str"/>
      <x:c r="K30" s="33" t="str"/>
      <x:c r="L30" s="33" t="str"/>
      <x:c r="M30" s="33" t="str"/>
      <x:c r="N30" s="33" t="str"/>
      <x:c r="O30" s="33" t="str"/>
      <x:c r="P30" s="33" t="str"/>
      <x:c r="Q30" s="33" t="str"/>
      <x:c r="R30" s="33" t="str"/>
      <x:c r="S30" s="33" t="str"/>
      <x:c r="T30" s="33" t="str"/>
      <x:c r="U30" s="33" t="str"/>
      <x:c r="V30" s="36" t="str"/>
    </x:row>
    <x:row r="31">
      <x:c r="A31" s="33" t="str"/>
      <x:c r="B31" s="36" t="str"/>
      <x:c r="C31" s="33" t="str"/>
      <x:c r="D31" s="33" t="str"/>
      <x:c r="E31" s="33" t="str"/>
      <x:c r="F31" s="33" t="str"/>
      <x:c r="G31" s="33" t="str"/>
      <x:c r="H31" s="33" t="str"/>
      <x:c r="I31" s="33" t="str"/>
      <x:c r="J31" s="33" t="str"/>
      <x:c r="K31" s="33" t="str"/>
      <x:c r="L31" s="33" t="str"/>
      <x:c r="M31" s="33" t="str"/>
      <x:c r="N31" s="33" t="str"/>
      <x:c r="O31" s="33" t="str"/>
      <x:c r="P31" s="33" t="str"/>
      <x:c r="Q31" s="33" t="str"/>
      <x:c r="R31" s="33" t="str"/>
      <x:c r="S31" s="33" t="str"/>
      <x:c r="T31" s="33" t="str"/>
      <x:c r="U31" s="33" t="str"/>
      <x:c r="V31" s="36" t="str"/>
    </x:row>
    <x:row r="32">
      <x:c r="A32" s="33" t="str"/>
      <x:c r="B32" s="36" t="str"/>
      <x:c r="C32" s="33" t="str"/>
      <x:c r="D32" s="33" t="str"/>
      <x:c r="E32" s="33" t="str"/>
      <x:c r="F32" s="33" t="str"/>
      <x:c r="G32" s="33" t="str"/>
      <x:c r="H32" s="33" t="str"/>
      <x:c r="I32" s="33" t="str"/>
      <x:c r="J32" s="33" t="str"/>
      <x:c r="K32" s="33" t="str"/>
      <x:c r="L32" s="33" t="str"/>
      <x:c r="M32" s="33" t="str"/>
      <x:c r="N32" s="33" t="str"/>
      <x:c r="O32" s="33" t="str"/>
      <x:c r="P32" s="33" t="str"/>
      <x:c r="Q32" s="33" t="str"/>
      <x:c r="R32" s="33" t="str"/>
      <x:c r="S32" s="33" t="str"/>
      <x:c r="T32" s="33" t="str"/>
      <x:c r="U32" s="33" t="str"/>
      <x:c r="V32" s="36" t="str"/>
    </x:row>
    <x:row r="33">
      <x:c r="A33" s="33" t="str"/>
      <x:c r="B33" s="36" t="str"/>
      <x:c r="C33" s="33" t="str"/>
      <x:c r="D33" s="33" t="str"/>
      <x:c r="E33" s="33" t="str"/>
      <x:c r="F33" s="33" t="str"/>
      <x:c r="G33" s="33" t="str"/>
      <x:c r="H33" s="33" t="str"/>
      <x:c r="I33" s="33" t="str"/>
      <x:c r="J33" s="33" t="str"/>
      <x:c r="K33" s="33" t="str"/>
      <x:c r="L33" s="33" t="str"/>
      <x:c r="M33" s="33" t="str"/>
      <x:c r="N33" s="33" t="str"/>
      <x:c r="O33" s="33" t="str"/>
      <x:c r="P33" s="33" t="str"/>
      <x:c r="Q33" s="33" t="str"/>
      <x:c r="R33" s="33" t="str"/>
      <x:c r="S33" s="33" t="str"/>
      <x:c r="T33" s="33" t="str"/>
      <x:c r="U33" s="33" t="str"/>
      <x:c r="V33" s="36" t="str"/>
    </x:row>
    <x:row r="34">
      <x:c r="A34" s="33" t="str"/>
      <x:c r="B34" s="36" t="str"/>
      <x:c r="C34" s="33" t="str"/>
      <x:c r="D34" s="33" t="str"/>
      <x:c r="E34" s="33" t="str"/>
      <x:c r="F34" s="33" t="str"/>
      <x:c r="G34" s="33" t="str"/>
      <x:c r="H34" s="33" t="str"/>
      <x:c r="I34" s="33" t="str"/>
      <x:c r="J34" s="33" t="str"/>
      <x:c r="K34" s="33" t="str"/>
      <x:c r="L34" s="33" t="str"/>
      <x:c r="M34" s="33" t="str"/>
      <x:c r="N34" s="33" t="str"/>
      <x:c r="O34" s="33" t="str"/>
      <x:c r="P34" s="33" t="str"/>
      <x:c r="Q34" s="33" t="str"/>
      <x:c r="R34" s="33" t="str"/>
      <x:c r="S34" s="33" t="str"/>
      <x:c r="T34" s="33" t="str"/>
      <x:c r="U34" s="33" t="str"/>
      <x:c r="V34" s="36" t="str"/>
    </x:row>
  </x:sheetData>
  <x:mergeCells>
    <x:mergeCell ref="A1:V1"/>
    <x:mergeCell ref="A2:V2"/>
  </x:mergeCells>
  <x:conditionalFormatting sqref="N5:N34">
    <x:cfRule type="expression" dxfId="0" priority="1">
      <x:formula>N5="Critical"</x:formula>
    </x:cfRule>
    <x:cfRule type="expression" dxfId="1" priority="2">
      <x:formula>N5="High"</x:formula>
    </x:cfRule>
  </x:conditionalFormatting>
  <x:conditionalFormatting sqref="P5:P34">
    <x:cfRule type="expression" dxfId="2" priority="3">
      <x:formula>P5="Closed"</x:formula>
    </x:cfRule>
    <x:cfRule type="expression" dxfId="3" priority="4">
      <x:formula>P5="Reopened"</x:formula>
    </x:cfRule>
  </x:conditionalFormatting>
  <x:conditionalFormatting sqref="U5:U34">
    <x:cfRule type="expression" dxfId="4" priority="5">
      <x:formula>U5="Passed"</x:formula>
    </x:cfRule>
    <x:cfRule type="expression" dxfId="5" priority="6">
      <x:formula>U5="Failed"</x:formula>
    </x:cfRule>
  </x:conditionalFormatting>
  <x:dataValidations count="6">
    <x:dataValidation type="list" sqref="C5:C34">
      <x:formula1>"Flight Search,Fare,Passenger,Payment,Booking / PNR,Cancellation,Refund,End-to-End,Other"</x:formula1>
    </x:dataValidation>
    <x:dataValidation type="list" sqref="N5:N34">
      <x:formula1>"Critical,High,Medium,Low"</x:formula1>
    </x:dataValidation>
    <x:dataValidation type="list" sqref="O5:O34">
      <x:formula1>"High,Medium,Low"</x:formula1>
    </x:dataValidation>
    <x:dataValidation type="list" sqref="P5:P34">
      <x:formula1>"New,Open,In Progress,Fixed,Ready for Retest,Reopened,Deferred,Rejected,Closed,Cannot Reproduce"</x:formula1>
    </x:dataValidation>
    <x:dataValidation type="list" sqref="Q5:Q34">
      <x:formula1>"Always,Intermittent,Once,Cannot Reproduce"</x:formula1>
    </x:dataValidation>
    <x:dataValidation type="list" sqref="U5:U34">
      <x:formula1>"Not Retested,Passed,Failed,Blocked,Not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faa5a94c93419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4" max="4" width="22" hidden="0" customWidth="1"/>
    <x:col min="5" max="5" width="14" hidden="0" customWidth="1"/>
    <x:col min="6" max="6" width="14" hidden="0" customWidth="1"/>
  </x:cols>
  <x:sheetData>
    <x:row r="1">
      <x:c r="A1" s="5" t="str">
        <x:v>Airline Manual QA - Defect Summary</x:v>
      </x:c>
      <x:c r="B1" s="5"/>
      <x:c r="C1" s="5"/>
      <x:c r="D1" s="5"/>
      <x:c r="E1" s="5"/>
      <x:c r="F1" s="5"/>
      <x:c r="G1" s="5"/>
      <x:c r="H1" s="5"/>
    </x:row>
    <x:row r="3">
      <x:c r="A3" s="23" t="str">
        <x:v>Metric</x:v>
      </x:c>
      <x:c r="B3" s="23" t="str">
        <x:v>Count</x:v>
      </x:c>
      <x:c r="C3" s="30"/>
      <x:c r="D3" s="23" t="str">
        <x:v>Module</x:v>
      </x:c>
      <x:c r="E3" s="23" t="str">
        <x:v>Defects</x:v>
      </x:c>
      <x:c r="F3" s="23" t="str">
        <x:v>Critical/High</x:v>
      </x:c>
    </x:row>
    <x:row r="4">
      <x:c r="A4" s="30" t="str">
        <x:v>Total Defects</x:v>
      </x:c>
      <x:c r="B4" s="30" t="n">
        <x:f>COUNTA('Defect Log'!A5:A34)</x:f>
        <x:v>30</x:v>
      </x:c>
      <x:c r="C4" s="30"/>
      <x:c r="D4" s="30" t="str">
        <x:v>Flight Search</x:v>
      </x:c>
      <x:c r="E4" s="30" t="n">
        <x:f>COUNTIF('Defect Log'!C5:C34,D4)</x:f>
        <x:v>0</x:v>
      </x:c>
      <x:c r="F4" s="30" t="n">
        <x:f>COUNTIFS('Defect Log'!C5:C34,D4,'Defect Log'!N5:N34,"Critical")+COUNTIFS('Defect Log'!C5:C34,D4,'Defect Log'!N5:N34,"High")</x:f>
        <x:v>0</x:v>
      </x:c>
    </x:row>
    <x:row r="5">
      <x:c r="A5" s="30" t="str">
        <x:v>Open / Active</x:v>
      </x:c>
      <x:c r="B5" s="30" t="n">
        <x:f>COUNTIF('Defect Log'!P5:P34,"New")+COUNTIF('Defect Log'!P5:P34,"Open")+COUNTIF('Defect Log'!P5:P34,"In Progress")+COUNTIF('Defect Log'!P5:P34,"Ready for Retest")+COUNTIF('Defect Log'!P5:P34,"Reopened")</x:f>
        <x:v>0</x:v>
      </x:c>
      <x:c r="C5" s="30"/>
      <x:c r="D5" s="30" t="str">
        <x:v>Fare</x:v>
      </x:c>
      <x:c r="E5" s="30" t="n">
        <x:f>COUNTIF('Defect Log'!C5:C34,D5)</x:f>
        <x:v>0</x:v>
      </x:c>
      <x:c r="F5" s="30" t="n">
        <x:f>COUNTIFS('Defect Log'!C5:C34,D5,'Defect Log'!N5:N34,"Critical")+COUNTIFS('Defect Log'!C5:C34,D5,'Defect Log'!N5:N34,"High")</x:f>
        <x:v>0</x:v>
      </x:c>
    </x:row>
    <x:row r="6">
      <x:c r="A6" s="30" t="str">
        <x:v>Critical</x:v>
      </x:c>
      <x:c r="B6" s="30" t="n">
        <x:f>COUNTIF('Defect Log'!N5:N34,"Critical")</x:f>
        <x:v>0</x:v>
      </x:c>
      <x:c r="C6" s="30"/>
      <x:c r="D6" s="30" t="str">
        <x:v>Passenger</x:v>
      </x:c>
      <x:c r="E6" s="30" t="n">
        <x:f>COUNTIF('Defect Log'!C5:C34,D6)</x:f>
        <x:v>0</x:v>
      </x:c>
      <x:c r="F6" s="30" t="n">
        <x:f>COUNTIFS('Defect Log'!C5:C34,D6,'Defect Log'!N5:N34,"Critical")+COUNTIFS('Defect Log'!C5:C34,D6,'Defect Log'!N5:N34,"High")</x:f>
        <x:v>0</x:v>
      </x:c>
    </x:row>
    <x:row r="7">
      <x:c r="A7" s="30" t="str">
        <x:v>High</x:v>
      </x:c>
      <x:c r="B7" s="30" t="n">
        <x:f>COUNTIF('Defect Log'!N5:N34,"High")</x:f>
        <x:v>0</x:v>
      </x:c>
      <x:c r="C7" s="30"/>
      <x:c r="D7" s="30" t="str">
        <x:v>Payment</x:v>
      </x:c>
      <x:c r="E7" s="30" t="n">
        <x:f>COUNTIF('Defect Log'!C5:C34,D7)</x:f>
        <x:v>0</x:v>
      </x:c>
      <x:c r="F7" s="30" t="n">
        <x:f>COUNTIFS('Defect Log'!C5:C34,D7,'Defect Log'!N5:N34,"Critical")+COUNTIFS('Defect Log'!C5:C34,D7,'Defect Log'!N5:N34,"High")</x:f>
        <x:v>0</x:v>
      </x:c>
    </x:row>
    <x:row r="8">
      <x:c r="A8" s="30" t="str">
        <x:v>Medium</x:v>
      </x:c>
      <x:c r="B8" s="30" t="n">
        <x:f>COUNTIF('Defect Log'!N5:N34,"Medium")</x:f>
        <x:v>0</x:v>
      </x:c>
      <x:c r="C8" s="30"/>
      <x:c r="D8" s="30" t="str">
        <x:v>Booking / PNR</x:v>
      </x:c>
      <x:c r="E8" s="30" t="n">
        <x:f>COUNTIF('Defect Log'!C5:C34,D8)</x:f>
        <x:v>0</x:v>
      </x:c>
      <x:c r="F8" s="30" t="n">
        <x:f>COUNTIFS('Defect Log'!C5:C34,D8,'Defect Log'!N5:N34,"Critical")+COUNTIFS('Defect Log'!C5:C34,D8,'Defect Log'!N5:N34,"High")</x:f>
        <x:v>0</x:v>
      </x:c>
    </x:row>
    <x:row r="9">
      <x:c r="A9" s="30" t="str">
        <x:v>Low</x:v>
      </x:c>
      <x:c r="B9" s="30" t="n">
        <x:f>COUNTIF('Defect Log'!N5:N34,"Low")</x:f>
        <x:v>0</x:v>
      </x:c>
      <x:c r="C9" s="30"/>
      <x:c r="D9" s="30" t="str">
        <x:v>Cancellation</x:v>
      </x:c>
      <x:c r="E9" s="30" t="n">
        <x:f>COUNTIF('Defect Log'!C5:C34,D9)</x:f>
        <x:v>0</x:v>
      </x:c>
      <x:c r="F9" s="30" t="n">
        <x:f>COUNTIFS('Defect Log'!C5:C34,D9,'Defect Log'!N5:N34,"Critical")+COUNTIFS('Defect Log'!C5:C34,D9,'Defect Log'!N5:N34,"High")</x:f>
        <x:v>0</x:v>
      </x:c>
    </x:row>
    <x:row r="10">
      <x:c r="A10" s="30" t="str">
        <x:v>Closed</x:v>
      </x:c>
      <x:c r="B10" s="30" t="n">
        <x:f>COUNTIF('Defect Log'!P5:P34,"Closed")</x:f>
        <x:v>0</x:v>
      </x:c>
      <x:c r="C10" s="30"/>
      <x:c r="D10" s="30" t="str">
        <x:v>Refund</x:v>
      </x:c>
      <x:c r="E10" s="30" t="n">
        <x:f>COUNTIF('Defect Log'!C5:C34,D10)</x:f>
        <x:v>0</x:v>
      </x:c>
      <x:c r="F10" s="30" t="n">
        <x:f>COUNTIFS('Defect Log'!C5:C34,D10,'Defect Log'!N5:N34,"Critical")+COUNTIFS('Defect Log'!C5:C34,D10,'Defect Log'!N5:N34,"High")</x:f>
        <x:v>0</x:v>
      </x:c>
    </x:row>
    <x:row r="11">
      <x:c r="A11" s="30"/>
      <x:c r="B11" s="30"/>
      <x:c r="C11" s="30"/>
      <x:c r="D11" s="30" t="str">
        <x:v>End-to-End</x:v>
      </x:c>
      <x:c r="E11" s="30" t="n">
        <x:f>COUNTIF('Defect Log'!C5:C34,D11)</x:f>
        <x:v>0</x:v>
      </x:c>
      <x:c r="F11" s="30" t="n">
        <x:f>COUNTIFS('Defect Log'!C5:C34,D11,'Defect Log'!N5:N34,"Critical")+COUNTIFS('Defect Log'!C5:C34,D11,'Defect Log'!N5:N34,"High")</x:f>
        <x:v>0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5c0f6bee0c134956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55" hidden="0" customWidth="1"/>
  </x:cols>
  <x:sheetData>
    <x:row r="1">
      <x:c r="A1" s="41" t="str">
        <x:v>Defect Reporting Guidance</x:v>
      </x:c>
      <x:c r="B1" s="41"/>
      <x:c r="C1" s="41"/>
    </x:row>
    <x:row r="3">
      <x:c r="A3" s="23" t="str">
        <x:v>Field</x:v>
      </x:c>
      <x:c r="B3" s="23" t="str">
        <x:v>Meaning</x:v>
      </x:c>
      <x:c r="C3" s="23" t="str">
        <x:v>Example / Reminder</x:v>
      </x:c>
    </x:row>
    <x:row r="4">
      <x:c r="A4" s="30" t="str">
        <x:v>Severity</x:v>
      </x:c>
      <x:c r="B4" s="30" t="str">
        <x:v>Impact of defect</x:v>
      </x:c>
      <x:c r="C4" s="30" t="str">
        <x:v>Payment charged but no booking = High; widespread financial duplication may be Critical</x:v>
      </x:c>
    </x:row>
    <x:row r="5">
      <x:c r="A5" s="30" t="str">
        <x:v>Priority</x:v>
      </x:c>
      <x:c r="B5" s="30" t="str">
        <x:v>Urgency to fix</x:v>
      </x:c>
      <x:c r="C5" s="30" t="str">
        <x:v>Business-critical flow defects usually High priority</x:v>
      </x:c>
    </x:row>
    <x:row r="6">
      <x:c r="A6" s="30" t="str">
        <x:v>Status</x:v>
      </x:c>
      <x:c r="B6" s="30" t="str">
        <x:v>Current defect lifecycle state</x:v>
      </x:c>
      <x:c r="C6" s="30" t="str">
        <x:v>New -&gt; Open -&gt; Fixed -&gt; Ready for Retest -&gt; Closed</x:v>
      </x:c>
    </x:row>
    <x:row r="7">
      <x:c r="A7" s="30" t="str">
        <x:v>Reproducibility</x:v>
      </x:c>
      <x:c r="B7" s="30" t="str">
        <x:v>How consistently the issue occurs</x:v>
      </x:c>
      <x:c r="C7" s="30" t="str">
        <x:v>Always / Intermittent / Once / Cannot Reproduce</x:v>
      </x:c>
    </x:row>
    <x:row r="8">
      <x:c r="A8" s="30" t="str">
        <x:v>Expected Result</x:v>
      </x:c>
      <x:c r="B8" s="30" t="str">
        <x:v>What the system should do</x:v>
      </x:c>
      <x:c r="C8" s="30" t="str">
        <x:v>Must be based on requirement/observed valid business rule</x:v>
      </x:c>
    </x:row>
    <x:row r="9">
      <x:c r="A9" s="30" t="str">
        <x:v>Actual Result</x:v>
      </x:c>
      <x:c r="B9" s="30" t="str">
        <x:v>What actually happened</x:v>
      </x:c>
      <x:c r="C9" s="30" t="str">
        <x:v>Be specific and observable; avoid 'not working'</x:v>
      </x:c>
    </x:row>
    <x:row r="10">
      <x:c r="A10" s="30" t="str">
        <x:v>Evidence</x:v>
      </x:c>
      <x:c r="B10" s="30" t="str">
        <x:v>Proof of issue</x:v>
      </x:c>
      <x:c r="C10" s="30" t="str">
        <x:v>Screenshot/video, timestamp, request/transaction ID where relevant</x:v>
      </x:c>
    </x:row>
    <x:row r="11">
      <x:c r="A11" s="30" t="str">
        <x:v>Retest Status</x:v>
      </x:c>
      <x:c r="B11" s="30" t="str">
        <x:v>Outcome after developer fix</x:v>
      </x:c>
      <x:c r="C11" s="30" t="str">
        <x:v>Passed = exact defect no longer reproduces</x:v>
      </x:c>
    </x:row>
    <x:row r="12">
      <x:c r="A12" s="30" t="str">
        <x:v>Rule</x:v>
      </x:c>
      <x:c r="B12" s="30" t="str">
        <x:v>Portfolio integrity</x:v>
      </x:c>
      <x:c r="C12" s="30" t="str">
        <x:v>Do not invent defects. Log only issues actually observed during execution.</x:v>
      </x:c>
    </x:row>
  </x:sheetData>
  <x:mergeCells>
    <x:mergeCell ref="A1:C1"/>
  </x:mergeCells>
  <x:pageMargins left="0.7" right="0.7" top="0.75" bottom="0.75" header="0.3" footer="0.3"/>
</x:worksheet>
</file>