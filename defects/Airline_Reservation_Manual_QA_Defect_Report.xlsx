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04" yWindow="588" windowWidth="22716" windowHeight="8676"/>
  </bookViews>
  <sheets>
    <sheet name="Defect Log" sheetId="1" r:id="rId1"/>
    <sheet name="Summary" sheetId="2" r:id="rId2"/>
    <sheet name="Lists" sheetId="3" r:id="rId3"/>
  </sheets>
  <calcPr calcId="125725"/>
</workbook>
</file>

<file path=xl/calcChain.xml><?xml version="1.0" encoding="utf-8"?>
<calcChain xmlns="http://schemas.openxmlformats.org/spreadsheetml/2006/main">
  <c r="F11" i="2"/>
  <c r="E11"/>
  <c r="F10"/>
  <c r="E10"/>
  <c r="B10"/>
  <c r="F9"/>
  <c r="E9"/>
  <c r="B9"/>
  <c r="F8"/>
  <c r="E8"/>
  <c r="B8"/>
  <c r="F7"/>
  <c r="E7"/>
  <c r="B7"/>
  <c r="F6"/>
  <c r="E6"/>
  <c r="B6"/>
  <c r="F5"/>
  <c r="E5"/>
  <c r="B5"/>
  <c r="F4"/>
  <c r="E4"/>
  <c r="B4"/>
</calcChain>
</file>

<file path=xl/sharedStrings.xml><?xml version="1.0" encoding="utf-8"?>
<sst xmlns="http://schemas.openxmlformats.org/spreadsheetml/2006/main" count="168" uniqueCount="128">
  <si>
    <t>Airline Reservation System - Defect Report</t>
  </si>
  <si>
    <t>Use this log only for defects actually observed during execution. Do not record design-level scenarios as real defects.</t>
  </si>
  <si>
    <t>Defect ID</t>
  </si>
  <si>
    <t>Date Logged</t>
  </si>
  <si>
    <t>Module</t>
  </si>
  <si>
    <t>Requirement ID</t>
  </si>
  <si>
    <t>Test Case ID</t>
  </si>
  <si>
    <t>Defect Title</t>
  </si>
  <si>
    <t>Environment</t>
  </si>
  <si>
    <t>Build / URL</t>
  </si>
  <si>
    <t>Preconditions</t>
  </si>
  <si>
    <t>Steps to Reproduce</t>
  </si>
  <si>
    <t>Test Data</t>
  </si>
  <si>
    <t>Expected Result</t>
  </si>
  <si>
    <t>Actual Result</t>
  </si>
  <si>
    <t>Severity</t>
  </si>
  <si>
    <t>Priority</t>
  </si>
  <si>
    <t>Status</t>
  </si>
  <si>
    <t>Reproducibility</t>
  </si>
  <si>
    <t>Evidence / Screenshot</t>
  </si>
  <si>
    <t>Assigned To</t>
  </si>
  <si>
    <t>Resolution / Comments</t>
  </si>
  <si>
    <t>Retest Status</t>
  </si>
  <si>
    <t>Closed Date</t>
  </si>
  <si>
    <t>Airline Manual QA - Defect Summary</t>
  </si>
  <si>
    <t>Metric</t>
  </si>
  <si>
    <t>Count</t>
  </si>
  <si>
    <t>Defects</t>
  </si>
  <si>
    <t>Critical/High</t>
  </si>
  <si>
    <t>Total Defects</t>
  </si>
  <si>
    <t>Flight Search</t>
  </si>
  <si>
    <t>Open / Active</t>
  </si>
  <si>
    <t>Fare</t>
  </si>
  <si>
    <t>Critical</t>
  </si>
  <si>
    <t>Passenger</t>
  </si>
  <si>
    <t>High</t>
  </si>
  <si>
    <t>Payment</t>
  </si>
  <si>
    <t>Medium</t>
  </si>
  <si>
    <t>Booking / PNR</t>
  </si>
  <si>
    <t>Low</t>
  </si>
  <si>
    <t>Cancellation</t>
  </si>
  <si>
    <t>Closed</t>
  </si>
  <si>
    <t>Refund</t>
  </si>
  <si>
    <t>End-to-End</t>
  </si>
  <si>
    <t>Defect Reporting Guidance</t>
  </si>
  <si>
    <t>Field</t>
  </si>
  <si>
    <t>Meaning</t>
  </si>
  <si>
    <t>Example / Reminder</t>
  </si>
  <si>
    <t>Impact of defect</t>
  </si>
  <si>
    <t>Payment charged but no booking = High; widespread financial duplication may be Critical</t>
  </si>
  <si>
    <t>Urgency to fix</t>
  </si>
  <si>
    <t>Business-critical flow defects usually High priority</t>
  </si>
  <si>
    <t>Current defect lifecycle state</t>
  </si>
  <si>
    <t>New -&gt; Open -&gt; Fixed -&gt; Ready for Retest -&gt; Closed</t>
  </si>
  <si>
    <t>How consistently the issue occurs</t>
  </si>
  <si>
    <t>Always / Intermittent / Once / Cannot Reproduce</t>
  </si>
  <si>
    <t>What the system should do</t>
  </si>
  <si>
    <t>Must be based on requirement/observed valid business rule</t>
  </si>
  <si>
    <t>What actually happened</t>
  </si>
  <si>
    <t>Be specific and observable; avoid 'not working'</t>
  </si>
  <si>
    <t>Evidence</t>
  </si>
  <si>
    <t>Proof of issue</t>
  </si>
  <si>
    <t>Screenshot/video, timestamp, request/transaction ID where relevant</t>
  </si>
  <si>
    <t>Outcome after developer fix</t>
  </si>
  <si>
    <t>Passed = exact defect no longer reproduces</t>
  </si>
  <si>
    <t>Rule</t>
  </si>
  <si>
    <t>Portfolio integrity</t>
  </si>
  <si>
    <t>Do not invent defects. Log only issues actually observed during execution.</t>
  </si>
  <si>
    <t>DEF-FS-001</t>
  </si>
  <si>
    <t>REQ-FS-002</t>
  </si>
  <si>
    <t>TC-FS_002</t>
  </si>
  <si>
    <t>Same origin and destination are accepted during flight search</t>
  </si>
  <si>
    <t>Open the Flights search page.
Select DEL as Departure From.
Select DEL as Arrival To.
Select valid travel dates and passenger details.
Click Search.</t>
  </si>
  <si>
    <t>The system should prevent the search when origin and destination are the same and display an appropriate validation message.</t>
  </si>
  <si>
    <t>The system accepts DEL as both origin and destination and navigates to the results page showing 0 flights.</t>
  </si>
  <si>
    <t>New</t>
  </si>
  <si>
    <t>Always</t>
  </si>
  <si>
    <t>Frontend URL</t>
  </si>
  <si>
    <t>https://phptravels.net</t>
  </si>
  <si>
    <t>Give origin and destination as same = DEL</t>
  </si>
  <si>
    <t>TC_FS_002_same_origin_destination.jpg</t>
  </si>
  <si>
    <t xml:space="preserve">Departure and Arrival = DEL, Date = 8/9/2026 </t>
  </si>
  <si>
    <t>Pragya Kapil</t>
  </si>
  <si>
    <t>DEF-PAX-001</t>
  </si>
  <si>
    <t>Passenger name is silently truncated on invoice after accepting excessively long input</t>
  </si>
  <si>
    <t>TC_PAX_003</t>
  </si>
  <si>
    <t>Give a very long First name - Pragyaffffffffffffffffffffffffffffffggggggggggggggggggggggggggghhhhhhhhhhhhhhhhmmmmmmmmmmmmmmmhhhhh</t>
  </si>
  <si>
    <t>TC_PAX_003_long_name_accepted.jpg
DEF_PAX_001_name_truncated_on_invoice.jpg</t>
  </si>
  <si>
    <t>User has selected a valid flight/fare and reached the passenger details page. Booking flow is available and the passenger name field accepts text input.</t>
  </si>
  <si>
    <t>Search and select a valid flight.
Proceed to the passenger details page.
Enter an excessively long passenger name in the passenger name field.
Fill all other mandatory passenger details with valid data.
Observe that no validation message is displayed and the Book/Continue option remains enabled.
Click Book/Continue.
Proceed to the invoice/booking confirmation page.
Observe the passenger name displayed on the invoice.</t>
  </si>
  <si>
    <t>The system should enforce the supported passenger-name length at the point of data entry. If the entered value exceeds the allowed limit, it should either prevent additional input or display a clear validation message and prevent the user from continuing until the value is corrected. The passenger name should not be silently altered after booking.</t>
  </si>
  <si>
    <t>The passenger name field accepted an excessively long value without displaying any validation or character-limit indication. The Book/Continue option remained enabled. After booking, the passenger name was silently truncated on the invoice.</t>
  </si>
  <si>
    <t>REQ-PAX-002</t>
  </si>
  <si>
    <t>DEF-PAX-002</t>
  </si>
  <si>
    <t>REQ-PAX-003</t>
  </si>
  <si>
    <t>TC_PAX_005</t>
  </si>
  <si>
    <t>Flight search returns zero results when a Child passenger is added despite flights being available for Adult-only search</t>
  </si>
  <si>
    <t>Valid DEL → DXB route is available. Economy class selected. A future travel date is selected.</t>
  </si>
  <si>
    <t>Search DEL → DXB for a future date with 1 Adult only.
Observe available flights.
Keep the same route, date and cabin class.
Add 1 Child while retaining 1 Adult.
Search again.
Observe the search results.</t>
  </si>
  <si>
    <t>The system should return flights that support the selected Adult + Child combination. If child bookings are unsupported for the route/supplier, the system should display a clear explanatory message rather than simply returning zero flights.</t>
  </si>
  <si>
    <t>Adult-only search returned available flights (90 flights on Sep 16). When 1 Child was added for the same route, date and cabin class, the system returned 0 flights with only a generic “No flights found” message</t>
  </si>
  <si>
    <t>DEF_PAX_003_adult_only_90_flights_sep16.jpg
DEF_PAX_003_adult_child_zero_flights_sep16.jpg</t>
  </si>
  <si>
    <t>DEL → DXB, One Way, Economy, 16-Sep-2026; Run 1: 1 Adult; Run 2: 1 Adult + 1 Child (Age 8)</t>
  </si>
  <si>
    <t>DEF-PAY-001</t>
  </si>
  <si>
    <t>REQ-PAY-001</t>
  </si>
  <si>
    <t>TC_PAY_001</t>
  </si>
  <si>
    <t>The booking proceeded successfully to the payment gateway with a total payable amount of USD 104,410.75. However, the test payment gateway rejected the transaction because the charge amount exceeded the configured maximum limit of USD 5,000. Therefore, successful payment could not be completed for this booking.</t>
  </si>
  <si>
    <t>A valid flight booking has been created and the booking has reached the invoice/payment stage.</t>
  </si>
  <si>
    <t>Booking proceeds to payment gateway with amount exceeding configured transaction limit</t>
  </si>
  <si>
    <t>Search and select a valid flight.
Enter valid passenger details.
Complete the booking flow and reach the invoice.
Observe the total payable amount.
Select Credit Card (Stripe) as the payment gateway.
Click Make Payment.
Click Proceed to Payment.
Observe the payment gateway response.</t>
  </si>
  <si>
    <t>The application should ensure that the selected payment gateway supports the booking amount before redirecting the user for payment. If the amount exceeds the gateway limit, the user should be informed before payment initiation or an alternative supported payment method should be provided.</t>
  </si>
  <si>
    <t>Valid flight booking | Payment Gateway: Credit Card (Stripe - Test Mode) | Total Amount: USD 104,410.75</t>
  </si>
  <si>
    <t>DEF_PAY_001_invoice_amount_104410_75.png
DEF_PAY_001_proceed_to_payment.png
DEF_PAY_001_gateway_limit_exceeded.png</t>
  </si>
  <si>
    <t>Retest Observation: On a subsequent payment attempt for the same invoice, the transaction completed successfully through Stripe Sandbox despite the same booking amount of USD 104,410.75. Booking status changed to Confirmed and Payment Status to Paid. The earlier gateway-limit failure therefore appears inconsistent/intermittent and requires investigation into payment routing or gateway behavior.</t>
  </si>
  <si>
    <t>Passed</t>
  </si>
  <si>
    <t>Once</t>
  </si>
  <si>
    <t>DEF-CAN-001</t>
  </si>
  <si>
    <t>REQ-CAN-001</t>
  </si>
  <si>
    <t>TC_CAN_001</t>
  </si>
  <si>
    <t>Cancellation request cannot be completed for confirmed paid booking because PNR is not issued and Sabre API returns invalid JSON response</t>
  </si>
  <si>
    <t>Admin Panel</t>
  </si>
  <si>
    <t>https://phptravels.net/login</t>
  </si>
  <si>
    <t>A flight booking exists with:
Booking Status = Confirmed
Payment Status = Paid
A cancellation request has been submitted by the user
Booking is available in the Admin portal for cancellation processing</t>
  </si>
  <si>
    <t>Create or retrieve confirmed flight booking 80882104.
Verify that the booking status is Confirmed and payment status is Paid.
From the customer/invoice page, click Request Cancellation.
Verify that the booking shows Cancellation Requested in the Admin booking list.
Open booking 80882104 from the Admin portal.
Attempt to process the cancellation request.
Observe the booking action section and PNR status.</t>
  </si>
  <si>
    <t>Booking Reference: 80882104 | Supplier: Sabre | Booking Status: Confirmed | Payment Status: Paid</t>
  </si>
  <si>
    <t>The cancellation request should be processed according to the applicable booking/cancellation rules. The system should either successfully cancel/void the eligible booking or provide a controlled business response explaining why cancellation cannot be completed. Supplier/API failures should be handled gracefully and should not leave the cancellation request stuck without a recovery path.</t>
  </si>
  <si>
    <t>The cancellation request was successfully submitted and the Admin booking list displayed Cancellation Requested. However, when the booking was opened for processing, the system displayed “Booking Issue Error: Invalid JSON response from Sabre API.” The PNR Number remained Not Issued, and the cancellation/void actions were unavailable. The booking remained Confirmed and Paid, preventing the cancellation request from being completed.</t>
  </si>
  <si>
    <t>DEF_CAN_001_cancellation_requested_booking_80882104.png
DEF_CAN_001_sabre_api_error_pnr_not_issued.png</t>
  </si>
</sst>
</file>

<file path=xl/styles.xml><?xml version="1.0" encoding="utf-8"?>
<styleSheet xmlns="http://schemas.openxmlformats.org/spreadsheetml/2006/main">
  <numFmts count="1">
    <numFmt numFmtId="164" formatCode="yyyy\-mm\-dd"/>
  </numFmts>
  <fonts count="6">
    <font>
      <sz val="11"/>
      <name val="Carlito"/>
    </font>
    <font>
      <b/>
      <sz val="15"/>
      <color rgb="FFFFFFFF"/>
      <name val="Carlito"/>
    </font>
    <font>
      <i/>
      <sz val="11"/>
      <color rgb="FF1F2937"/>
      <name val="Carlito"/>
    </font>
    <font>
      <b/>
      <sz val="11"/>
      <color rgb="FFFFFFFF"/>
      <name val="Carlito"/>
    </font>
    <font>
      <b/>
      <sz val="13"/>
      <color rgb="FFFFFFFF"/>
      <name val="Carlito"/>
    </font>
    <font>
      <u/>
      <sz val="11"/>
      <color theme="10"/>
      <name val="Carlito"/>
    </font>
  </fonts>
  <fills count="5">
    <fill>
      <patternFill patternType="none"/>
    </fill>
    <fill>
      <patternFill patternType="gray125"/>
    </fill>
    <fill>
      <patternFill patternType="solid">
        <fgColor rgb="FF0B1F3A"/>
      </patternFill>
    </fill>
    <fill>
      <patternFill patternType="solid">
        <fgColor rgb="FFEAF2F8"/>
      </patternFill>
    </fill>
    <fill>
      <patternFill patternType="solid">
        <fgColor rgb="FF163A63"/>
      </patternFill>
    </fill>
  </fills>
  <borders count="1">
    <border>
      <left/>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14">
    <xf numFmtId="0" fontId="0" fillId="0" borderId="0" xfId="0"/>
    <xf numFmtId="0" fontId="3" fillId="4" borderId="0" xfId="0" applyNumberFormat="1" applyFont="1" applyFill="1" applyBorder="1" applyAlignment="1">
      <alignment horizontal="center" wrapText="1"/>
    </xf>
    <xf numFmtId="0" fontId="0" fillId="0" borderId="0" xfId="0" applyNumberFormat="1" applyFont="1" applyFill="1" applyBorder="1" applyAlignment="1">
      <alignment wrapText="1"/>
    </xf>
    <xf numFmtId="0" fontId="3" fillId="4"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0" fontId="0" fillId="0" borderId="0" xfId="0" applyNumberFormat="1" applyFill="1" applyBorder="1" applyAlignment="1">
      <alignment vertical="top" wrapText="1"/>
    </xf>
    <xf numFmtId="0" fontId="5" fillId="0" borderId="0" xfId="1" applyNumberFormat="1" applyFill="1" applyBorder="1" applyAlignment="1" applyProtection="1">
      <alignmen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left" vertical="center" wrapText="1"/>
    </xf>
    <xf numFmtId="0" fontId="4" fillId="2" borderId="0" xfId="0" applyNumberFormat="1" applyFont="1" applyFill="1" applyBorder="1" applyAlignment="1">
      <alignment horizontal="center"/>
    </xf>
  </cellXfs>
  <cellStyles count="2">
    <cellStyle name="Hyperlink" xfId="1" builtinId="8"/>
    <cellStyle name="Normal" xfId="0" builtinId="0"/>
  </cellStyles>
  <dxfs count="6">
    <dxf>
      <font>
        <color rgb="FF991B1B"/>
      </font>
      <fill>
        <patternFill patternType="solid">
          <bgColor rgb="FFFEE2E2"/>
        </patternFill>
      </fill>
    </dxf>
    <dxf>
      <font>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DE68A"/>
        </patternFill>
      </fill>
    </dxf>
    <dxf>
      <font>
        <b/>
        <color rgb="FF991B1B"/>
      </font>
      <fill>
        <patternFill patternType="solid">
          <bgColor rgb="FFFECAC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r>
              <a:rPr lang="en-US"/>
              <a:t>Defects by Module</a:t>
            </a:r>
          </a:p>
        </c:rich>
      </c:tx>
      <c:layout/>
    </c:title>
    <c:plotArea>
      <c:layout/>
      <c:barChart>
        <c:barDir val="col"/>
        <c:grouping val="clustered"/>
        <c:ser>
          <c:idx val="0"/>
          <c:order val="0"/>
          <c:tx>
            <c:v>Defects</c:v>
          </c:tx>
          <c:cat>
            <c:strRef>
              <c:f>Summary!$D$4:$D$11</c:f>
              <c:strCache>
                <c:ptCount val="8"/>
                <c:pt idx="0">
                  <c:v>Flight Search</c:v>
                </c:pt>
                <c:pt idx="1">
                  <c:v>Fare</c:v>
                </c:pt>
                <c:pt idx="2">
                  <c:v>Passenger</c:v>
                </c:pt>
                <c:pt idx="3">
                  <c:v>Payment</c:v>
                </c:pt>
                <c:pt idx="4">
                  <c:v>Booking / PNR</c:v>
                </c:pt>
                <c:pt idx="5">
                  <c:v>Cancellation</c:v>
                </c:pt>
                <c:pt idx="6">
                  <c:v>Refund</c:v>
                </c:pt>
                <c:pt idx="7">
                  <c:v>End-to-End</c:v>
                </c:pt>
              </c:strCache>
            </c:strRef>
          </c:cat>
          <c:val>
            <c:numRef>
              <c:f>Summary!$E$4:$E$11</c:f>
              <c:numCache>
                <c:formatCode>General</c:formatCode>
                <c:ptCount val="8"/>
                <c:pt idx="0">
                  <c:v>1</c:v>
                </c:pt>
                <c:pt idx="1">
                  <c:v>0</c:v>
                </c:pt>
                <c:pt idx="2">
                  <c:v>2</c:v>
                </c:pt>
                <c:pt idx="3">
                  <c:v>1</c:v>
                </c:pt>
                <c:pt idx="4">
                  <c:v>0</c:v>
                </c:pt>
                <c:pt idx="5">
                  <c:v>1</c:v>
                </c:pt>
                <c:pt idx="6">
                  <c:v>0</c:v>
                </c:pt>
                <c:pt idx="7">
                  <c:v>0</c:v>
                </c:pt>
              </c:numCache>
            </c:numRef>
          </c:val>
        </c:ser>
        <c:axId val="121655680"/>
        <c:axId val="121657216"/>
      </c:barChart>
      <c:catAx>
        <c:axId val="121655680"/>
        <c:scaling>
          <c:orientation val="minMax"/>
        </c:scaling>
        <c:axPos val="b"/>
        <c:majorGridlines>
          <c:spPr>
            <a:ln w="9525">
              <a:solidFill>
                <a:srgbClr val="CCCCCC"/>
              </a:solidFill>
              <a:prstDash val="dash"/>
            </a:ln>
          </c:spPr>
        </c:majorGridlines>
        <c:numFmt formatCode="General" sourceLinked="0"/>
        <c:majorTickMark val="none"/>
        <c:tickLblPos val="nextTo"/>
        <c:crossAx val="121657216"/>
        <c:crosses val="autoZero"/>
        <c:lblAlgn val="ctr"/>
        <c:lblOffset val="100"/>
      </c:catAx>
      <c:valAx>
        <c:axId val="121657216"/>
        <c:scaling>
          <c:orientation val="minMax"/>
        </c:scaling>
        <c:axPos val="l"/>
        <c:majorGridlines>
          <c:spPr>
            <a:ln w="9525">
              <a:solidFill>
                <a:srgbClr val="CCCCCC"/>
              </a:solidFill>
              <a:prstDash val="dash"/>
            </a:ln>
          </c:spPr>
        </c:majorGridlines>
        <c:numFmt formatCode="General" sourceLinked="0"/>
        <c:majorTickMark val="none"/>
        <c:tickLblPos val="nextTo"/>
        <c:crossAx val="121655680"/>
        <c:crosses val="autoZero"/>
        <c:crossBetween val="between"/>
      </c:valAx>
    </c:plotArea>
    <c:plotVisOnly val="1"/>
  </c:chart>
  <c:spPr>
    <a:ln w="9525">
      <a:solidFill>
        <a:srgbClr val="D9D9D9"/>
      </a:solidFill>
      <a:prstDash val="solid"/>
    </a:ln>
  </c:spPr>
  <c:printSettings>
    <c:headerFooter/>
    <c:pageMargins b="0.75000000000000211" l="0.70000000000000062" r="0.70000000000000062" t="0.750000000000002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efectLogTable" displayName="DefectLogTable" ref="A4:V34" totalsRowShown="0">
  <tableColumns count="22">
    <tableColumn id="1" name="Defect ID"/>
    <tableColumn id="2" name="Date Logged"/>
    <tableColumn id="3" name="Module"/>
    <tableColumn id="4" name="Requirement ID"/>
    <tableColumn id="5" name="Test Case ID"/>
    <tableColumn id="6" name="Defect Title"/>
    <tableColumn id="7" name="Environment"/>
    <tableColumn id="8" name="Build / URL"/>
    <tableColumn id="9" name="Preconditions"/>
    <tableColumn id="10" name="Steps to Reproduce"/>
    <tableColumn id="11" name="Test Data"/>
    <tableColumn id="12" name="Expected Result"/>
    <tableColumn id="13" name="Actual Result"/>
    <tableColumn id="14" name="Severity"/>
    <tableColumn id="15" name="Priority"/>
    <tableColumn id="16" name="Status"/>
    <tableColumn id="17" name="Reproducibility"/>
    <tableColumn id="18" name="Evidence / Screenshot"/>
    <tableColumn id="19" name="Assigned To"/>
    <tableColumn id="20" name="Resolution / Comments"/>
    <tableColumn id="21" name="Retest Status"/>
    <tableColumn id="22" name="Closed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hptravels.net/" TargetMode="External"/><Relationship Id="rId7" Type="http://schemas.openxmlformats.org/officeDocument/2006/relationships/table" Target="../tables/table1.xml"/><Relationship Id="rId2" Type="http://schemas.openxmlformats.org/officeDocument/2006/relationships/hyperlink" Target="https://phptravels.net/" TargetMode="External"/><Relationship Id="rId1" Type="http://schemas.openxmlformats.org/officeDocument/2006/relationships/hyperlink" Target="https://phptravels.net/" TargetMode="External"/><Relationship Id="rId6" Type="http://schemas.openxmlformats.org/officeDocument/2006/relationships/printerSettings" Target="../printerSettings/printerSettings1.bin"/><Relationship Id="rId5" Type="http://schemas.openxmlformats.org/officeDocument/2006/relationships/hyperlink" Target="https://phptravels.net/login" TargetMode="External"/><Relationship Id="rId4" Type="http://schemas.openxmlformats.org/officeDocument/2006/relationships/hyperlink" Target="https://phptravels.n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V34"/>
  <sheetViews>
    <sheetView tabSelected="1" workbookViewId="0">
      <selection activeCell="W8" sqref="W8"/>
    </sheetView>
  </sheetViews>
  <sheetFormatPr defaultRowHeight="13.8"/>
  <cols>
    <col min="1" max="1" width="12" customWidth="1"/>
    <col min="2" max="2" width="13" customWidth="1"/>
    <col min="3" max="3" width="18" customWidth="1"/>
    <col min="4" max="5" width="15" customWidth="1"/>
    <col min="6" max="6" width="38" customWidth="1"/>
    <col min="7" max="7" width="24" customWidth="1"/>
    <col min="8" max="8" width="28" customWidth="1"/>
    <col min="9" max="9" width="30" customWidth="1"/>
    <col min="10" max="10" width="45" customWidth="1"/>
    <col min="11" max="11" width="28" customWidth="1"/>
    <col min="12" max="13" width="38" customWidth="1"/>
    <col min="14" max="15" width="12" customWidth="1"/>
    <col min="16" max="17" width="16" customWidth="1"/>
    <col min="18" max="18" width="26" customWidth="1"/>
    <col min="19" max="19" width="18" customWidth="1"/>
    <col min="20" max="20" width="35" customWidth="1"/>
    <col min="21" max="21" width="16" customWidth="1"/>
    <col min="22" max="22" width="13" customWidth="1"/>
  </cols>
  <sheetData>
    <row r="1" spans="1:22" ht="19.2">
      <c r="A1" s="11" t="s">
        <v>0</v>
      </c>
      <c r="B1" s="11"/>
      <c r="C1" s="11"/>
      <c r="D1" s="11"/>
      <c r="E1" s="11"/>
      <c r="F1" s="11"/>
      <c r="G1" s="11"/>
      <c r="H1" s="11"/>
      <c r="I1" s="11"/>
      <c r="J1" s="11"/>
      <c r="K1" s="11"/>
      <c r="L1" s="11"/>
      <c r="M1" s="11"/>
      <c r="N1" s="11"/>
      <c r="O1" s="11"/>
      <c r="P1" s="11"/>
      <c r="Q1" s="11"/>
      <c r="R1" s="11"/>
      <c r="S1" s="11"/>
      <c r="T1" s="11"/>
      <c r="U1" s="11"/>
      <c r="V1" s="11"/>
    </row>
    <row r="2" spans="1:22" ht="14.4">
      <c r="A2" s="12" t="s">
        <v>1</v>
      </c>
      <c r="B2" s="12"/>
      <c r="C2" s="12"/>
      <c r="D2" s="12"/>
      <c r="E2" s="12"/>
      <c r="F2" s="12"/>
      <c r="G2" s="12"/>
      <c r="H2" s="12"/>
      <c r="I2" s="12"/>
      <c r="J2" s="12"/>
      <c r="K2" s="12"/>
      <c r="L2" s="12"/>
      <c r="M2" s="12"/>
      <c r="N2" s="12"/>
      <c r="O2" s="12"/>
      <c r="P2" s="12"/>
      <c r="Q2" s="12"/>
      <c r="R2" s="12"/>
      <c r="S2" s="12"/>
      <c r="T2" s="12"/>
      <c r="U2" s="12"/>
      <c r="V2" s="12"/>
    </row>
    <row r="4" spans="1:2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row>
    <row r="5" spans="1:22" ht="79.2" customHeight="1">
      <c r="A5" s="6" t="s">
        <v>68</v>
      </c>
      <c r="B5" s="5">
        <v>46273</v>
      </c>
      <c r="C5" s="4" t="s">
        <v>30</v>
      </c>
      <c r="D5" s="6" t="s">
        <v>69</v>
      </c>
      <c r="E5" s="6" t="s">
        <v>70</v>
      </c>
      <c r="F5" s="8" t="s">
        <v>71</v>
      </c>
      <c r="G5" s="6" t="s">
        <v>77</v>
      </c>
      <c r="H5" s="7" t="s">
        <v>78</v>
      </c>
      <c r="I5" s="6" t="s">
        <v>79</v>
      </c>
      <c r="J5" s="9" t="s">
        <v>72</v>
      </c>
      <c r="K5" s="6" t="s">
        <v>81</v>
      </c>
      <c r="L5" s="6" t="s">
        <v>73</v>
      </c>
      <c r="M5" s="9" t="s">
        <v>74</v>
      </c>
      <c r="N5" s="4" t="s">
        <v>37</v>
      </c>
      <c r="O5" s="4" t="s">
        <v>37</v>
      </c>
      <c r="P5" s="4" t="s">
        <v>75</v>
      </c>
      <c r="Q5" s="4" t="s">
        <v>76</v>
      </c>
      <c r="R5" s="6" t="s">
        <v>80</v>
      </c>
      <c r="S5" s="6" t="s">
        <v>82</v>
      </c>
      <c r="T5" s="4"/>
      <c r="U5" s="4"/>
      <c r="V5" s="5"/>
    </row>
    <row r="6" spans="1:22" ht="165.6">
      <c r="A6" s="6" t="s">
        <v>83</v>
      </c>
      <c r="B6" s="5">
        <v>46275</v>
      </c>
      <c r="C6" s="4" t="s">
        <v>34</v>
      </c>
      <c r="D6" s="6" t="s">
        <v>92</v>
      </c>
      <c r="E6" s="6" t="s">
        <v>85</v>
      </c>
      <c r="F6" s="6" t="s">
        <v>84</v>
      </c>
      <c r="G6" s="6" t="s">
        <v>77</v>
      </c>
      <c r="H6" s="7" t="s">
        <v>78</v>
      </c>
      <c r="I6" s="6" t="s">
        <v>88</v>
      </c>
      <c r="J6" s="9" t="s">
        <v>89</v>
      </c>
      <c r="K6" s="6" t="s">
        <v>86</v>
      </c>
      <c r="L6" s="6" t="s">
        <v>90</v>
      </c>
      <c r="M6" s="6" t="s">
        <v>91</v>
      </c>
      <c r="N6" s="4" t="s">
        <v>37</v>
      </c>
      <c r="O6" s="4" t="s">
        <v>35</v>
      </c>
      <c r="P6" s="4" t="s">
        <v>75</v>
      </c>
      <c r="Q6" s="4" t="s">
        <v>76</v>
      </c>
      <c r="R6" s="6" t="s">
        <v>87</v>
      </c>
      <c r="S6" s="6" t="s">
        <v>82</v>
      </c>
      <c r="T6" s="4"/>
      <c r="U6" s="4"/>
      <c r="V6" s="5"/>
    </row>
    <row r="7" spans="1:22" ht="82.8">
      <c r="A7" s="6" t="s">
        <v>93</v>
      </c>
      <c r="B7" s="5">
        <v>46275</v>
      </c>
      <c r="C7" s="4" t="s">
        <v>34</v>
      </c>
      <c r="D7" s="6" t="s">
        <v>94</v>
      </c>
      <c r="E7" s="6" t="s">
        <v>95</v>
      </c>
      <c r="F7" s="6" t="s">
        <v>96</v>
      </c>
      <c r="G7" s="6" t="s">
        <v>77</v>
      </c>
      <c r="H7" s="7" t="s">
        <v>78</v>
      </c>
      <c r="I7" s="6" t="s">
        <v>97</v>
      </c>
      <c r="J7" s="10" t="s">
        <v>98</v>
      </c>
      <c r="K7" s="6" t="s">
        <v>102</v>
      </c>
      <c r="L7" s="6" t="s">
        <v>99</v>
      </c>
      <c r="M7" s="6" t="s">
        <v>100</v>
      </c>
      <c r="N7" s="4" t="s">
        <v>37</v>
      </c>
      <c r="O7" s="4" t="s">
        <v>35</v>
      </c>
      <c r="P7" s="4" t="s">
        <v>75</v>
      </c>
      <c r="Q7" s="4" t="s">
        <v>76</v>
      </c>
      <c r="R7" s="6" t="s">
        <v>101</v>
      </c>
      <c r="S7" s="6" t="s">
        <v>82</v>
      </c>
      <c r="T7" s="4"/>
      <c r="U7" s="4"/>
      <c r="V7" s="5"/>
    </row>
    <row r="8" spans="1:22" ht="151.80000000000001">
      <c r="A8" s="6" t="s">
        <v>103</v>
      </c>
      <c r="B8" s="5">
        <v>46275</v>
      </c>
      <c r="C8" s="4" t="s">
        <v>36</v>
      </c>
      <c r="D8" s="6" t="s">
        <v>104</v>
      </c>
      <c r="E8" s="6" t="s">
        <v>105</v>
      </c>
      <c r="F8" s="6" t="s">
        <v>108</v>
      </c>
      <c r="G8" s="6" t="s">
        <v>77</v>
      </c>
      <c r="H8" s="7" t="s">
        <v>78</v>
      </c>
      <c r="I8" s="6" t="s">
        <v>107</v>
      </c>
      <c r="J8" s="9" t="s">
        <v>109</v>
      </c>
      <c r="K8" s="6" t="s">
        <v>111</v>
      </c>
      <c r="L8" s="6" t="s">
        <v>110</v>
      </c>
      <c r="M8" s="6" t="s">
        <v>106</v>
      </c>
      <c r="N8" s="4" t="s">
        <v>35</v>
      </c>
      <c r="O8" s="4" t="s">
        <v>35</v>
      </c>
      <c r="P8" s="4" t="s">
        <v>41</v>
      </c>
      <c r="Q8" s="4" t="s">
        <v>115</v>
      </c>
      <c r="R8" s="6" t="s">
        <v>112</v>
      </c>
      <c r="S8" s="6" t="s">
        <v>82</v>
      </c>
      <c r="T8" s="6" t="s">
        <v>113</v>
      </c>
      <c r="U8" s="4" t="s">
        <v>114</v>
      </c>
      <c r="V8" s="5">
        <v>46276</v>
      </c>
    </row>
    <row r="9" spans="1:22" ht="151.80000000000001">
      <c r="A9" s="6" t="s">
        <v>116</v>
      </c>
      <c r="B9" s="5">
        <v>46276</v>
      </c>
      <c r="C9" s="4" t="s">
        <v>40</v>
      </c>
      <c r="D9" s="6" t="s">
        <v>117</v>
      </c>
      <c r="E9" s="6" t="s">
        <v>118</v>
      </c>
      <c r="F9" s="6" t="s">
        <v>119</v>
      </c>
      <c r="G9" s="6" t="s">
        <v>120</v>
      </c>
      <c r="H9" s="7" t="s">
        <v>121</v>
      </c>
      <c r="I9" s="6" t="s">
        <v>122</v>
      </c>
      <c r="J9" s="9" t="s">
        <v>123</v>
      </c>
      <c r="K9" s="6" t="s">
        <v>124</v>
      </c>
      <c r="L9" s="6" t="s">
        <v>125</v>
      </c>
      <c r="M9" s="6" t="s">
        <v>126</v>
      </c>
      <c r="N9" s="4" t="s">
        <v>35</v>
      </c>
      <c r="O9" s="4" t="s">
        <v>35</v>
      </c>
      <c r="P9" s="4" t="s">
        <v>75</v>
      </c>
      <c r="Q9" s="4" t="s">
        <v>76</v>
      </c>
      <c r="R9" s="6" t="s">
        <v>127</v>
      </c>
      <c r="S9" s="6" t="s">
        <v>82</v>
      </c>
      <c r="T9" s="4"/>
      <c r="U9" s="4"/>
      <c r="V9" s="5"/>
    </row>
    <row r="10" spans="1:22">
      <c r="A10" s="4"/>
      <c r="B10" s="5"/>
      <c r="C10" s="4"/>
      <c r="D10" s="4"/>
      <c r="E10" s="4"/>
      <c r="F10" s="4"/>
      <c r="G10" s="4"/>
      <c r="H10" s="4"/>
      <c r="I10" s="4"/>
      <c r="J10" s="4"/>
      <c r="K10" s="4"/>
      <c r="L10" s="4"/>
      <c r="M10" s="4"/>
      <c r="N10" s="4"/>
      <c r="O10" s="4"/>
      <c r="P10" s="4"/>
      <c r="Q10" s="4"/>
      <c r="R10" s="4"/>
      <c r="S10" s="4"/>
      <c r="T10" s="4"/>
      <c r="U10" s="4"/>
      <c r="V10" s="5"/>
    </row>
    <row r="11" spans="1:22">
      <c r="A11" s="4"/>
      <c r="B11" s="5"/>
      <c r="C11" s="4"/>
      <c r="D11" s="4"/>
      <c r="E11" s="4"/>
      <c r="F11" s="4"/>
      <c r="G11" s="4"/>
      <c r="H11" s="4"/>
      <c r="I11" s="4"/>
      <c r="J11" s="4"/>
      <c r="K11" s="4"/>
      <c r="L11" s="4"/>
      <c r="M11" s="4"/>
      <c r="N11" s="4"/>
      <c r="O11" s="4"/>
      <c r="P11" s="4"/>
      <c r="Q11" s="4"/>
      <c r="R11" s="4"/>
      <c r="S11" s="4"/>
      <c r="T11" s="4"/>
      <c r="U11" s="4"/>
      <c r="V11" s="5"/>
    </row>
    <row r="12" spans="1:22">
      <c r="A12" s="4"/>
      <c r="B12" s="5"/>
      <c r="C12" s="4"/>
      <c r="D12" s="4"/>
      <c r="E12" s="4"/>
      <c r="F12" s="4"/>
      <c r="G12" s="4"/>
      <c r="H12" s="4"/>
      <c r="I12" s="4"/>
      <c r="J12" s="4"/>
      <c r="K12" s="4"/>
      <c r="L12" s="4"/>
      <c r="M12" s="4"/>
      <c r="N12" s="4"/>
      <c r="O12" s="4"/>
      <c r="P12" s="4"/>
      <c r="Q12" s="4"/>
      <c r="R12" s="4"/>
      <c r="S12" s="4"/>
      <c r="T12" s="4"/>
      <c r="U12" s="4"/>
      <c r="V12" s="5"/>
    </row>
    <row r="13" spans="1:22">
      <c r="A13" s="4"/>
      <c r="B13" s="5"/>
      <c r="C13" s="4"/>
      <c r="D13" s="4"/>
      <c r="E13" s="4"/>
      <c r="F13" s="4"/>
      <c r="G13" s="4"/>
      <c r="H13" s="4"/>
      <c r="I13" s="4"/>
      <c r="J13" s="4"/>
      <c r="K13" s="4"/>
      <c r="L13" s="4"/>
      <c r="M13" s="4"/>
      <c r="N13" s="4"/>
      <c r="O13" s="4"/>
      <c r="P13" s="4"/>
      <c r="Q13" s="4"/>
      <c r="R13" s="4"/>
      <c r="S13" s="4"/>
      <c r="T13" s="4"/>
      <c r="U13" s="4"/>
      <c r="V13" s="5"/>
    </row>
    <row r="14" spans="1:22">
      <c r="A14" s="4"/>
      <c r="B14" s="5"/>
      <c r="C14" s="4"/>
      <c r="D14" s="4"/>
      <c r="E14" s="4"/>
      <c r="F14" s="4"/>
      <c r="G14" s="4"/>
      <c r="H14" s="4"/>
      <c r="I14" s="4"/>
      <c r="J14" s="4"/>
      <c r="K14" s="4"/>
      <c r="L14" s="4"/>
      <c r="M14" s="4"/>
      <c r="N14" s="4"/>
      <c r="O14" s="4"/>
      <c r="P14" s="4"/>
      <c r="Q14" s="4"/>
      <c r="R14" s="4"/>
      <c r="S14" s="4"/>
      <c r="T14" s="4"/>
      <c r="U14" s="4"/>
      <c r="V14" s="5"/>
    </row>
    <row r="15" spans="1:22">
      <c r="A15" s="4"/>
      <c r="B15" s="5"/>
      <c r="C15" s="4"/>
      <c r="D15" s="4"/>
      <c r="E15" s="4"/>
      <c r="F15" s="4"/>
      <c r="G15" s="4"/>
      <c r="H15" s="4"/>
      <c r="I15" s="4"/>
      <c r="J15" s="4"/>
      <c r="K15" s="4"/>
      <c r="L15" s="4"/>
      <c r="M15" s="4"/>
      <c r="N15" s="4"/>
      <c r="O15" s="4"/>
      <c r="P15" s="4"/>
      <c r="Q15" s="4"/>
      <c r="R15" s="4"/>
      <c r="S15" s="4"/>
      <c r="T15" s="4"/>
      <c r="U15" s="4"/>
      <c r="V15" s="5"/>
    </row>
    <row r="16" spans="1:22">
      <c r="A16" s="4"/>
      <c r="B16" s="5"/>
      <c r="C16" s="4"/>
      <c r="D16" s="4"/>
      <c r="E16" s="4"/>
      <c r="F16" s="4"/>
      <c r="G16" s="4"/>
      <c r="H16" s="4"/>
      <c r="I16" s="4"/>
      <c r="J16" s="4"/>
      <c r="K16" s="4"/>
      <c r="L16" s="4"/>
      <c r="M16" s="4"/>
      <c r="N16" s="4"/>
      <c r="O16" s="4"/>
      <c r="P16" s="4"/>
      <c r="Q16" s="4"/>
      <c r="R16" s="4"/>
      <c r="S16" s="4"/>
      <c r="T16" s="4"/>
      <c r="U16" s="4"/>
      <c r="V16" s="5"/>
    </row>
    <row r="17" spans="1:22">
      <c r="A17" s="4"/>
      <c r="B17" s="5"/>
      <c r="C17" s="4"/>
      <c r="D17" s="4"/>
      <c r="E17" s="4"/>
      <c r="F17" s="4"/>
      <c r="G17" s="4"/>
      <c r="H17" s="4"/>
      <c r="I17" s="4"/>
      <c r="J17" s="4"/>
      <c r="K17" s="4"/>
      <c r="L17" s="4"/>
      <c r="M17" s="4"/>
      <c r="N17" s="4"/>
      <c r="O17" s="4"/>
      <c r="P17" s="4"/>
      <c r="Q17" s="4"/>
      <c r="R17" s="4"/>
      <c r="S17" s="4"/>
      <c r="T17" s="4"/>
      <c r="U17" s="4"/>
      <c r="V17" s="5"/>
    </row>
    <row r="18" spans="1:22">
      <c r="A18" s="4"/>
      <c r="B18" s="5"/>
      <c r="C18" s="4"/>
      <c r="D18" s="4"/>
      <c r="E18" s="4"/>
      <c r="F18" s="4"/>
      <c r="G18" s="4"/>
      <c r="H18" s="4"/>
      <c r="I18" s="4"/>
      <c r="J18" s="4"/>
      <c r="K18" s="4"/>
      <c r="L18" s="4"/>
      <c r="M18" s="4"/>
      <c r="N18" s="4"/>
      <c r="O18" s="4"/>
      <c r="P18" s="4"/>
      <c r="Q18" s="4"/>
      <c r="R18" s="4"/>
      <c r="S18" s="4"/>
      <c r="T18" s="4"/>
      <c r="U18" s="4"/>
      <c r="V18" s="5"/>
    </row>
    <row r="19" spans="1:22">
      <c r="A19" s="4"/>
      <c r="B19" s="5"/>
      <c r="C19" s="4"/>
      <c r="D19" s="4"/>
      <c r="E19" s="4"/>
      <c r="F19" s="4"/>
      <c r="G19" s="4"/>
      <c r="H19" s="4"/>
      <c r="I19" s="4"/>
      <c r="J19" s="4"/>
      <c r="K19" s="4"/>
      <c r="L19" s="4"/>
      <c r="M19" s="4"/>
      <c r="N19" s="4"/>
      <c r="O19" s="4"/>
      <c r="P19" s="4"/>
      <c r="Q19" s="4"/>
      <c r="R19" s="4"/>
      <c r="S19" s="4"/>
      <c r="T19" s="4"/>
      <c r="U19" s="4"/>
      <c r="V19" s="5"/>
    </row>
    <row r="20" spans="1:22">
      <c r="A20" s="4"/>
      <c r="B20" s="5"/>
      <c r="C20" s="4"/>
      <c r="D20" s="4"/>
      <c r="E20" s="4"/>
      <c r="F20" s="4"/>
      <c r="G20" s="4"/>
      <c r="H20" s="4"/>
      <c r="I20" s="4"/>
      <c r="J20" s="4"/>
      <c r="K20" s="4"/>
      <c r="L20" s="4"/>
      <c r="M20" s="4"/>
      <c r="N20" s="4"/>
      <c r="O20" s="4"/>
      <c r="P20" s="4"/>
      <c r="Q20" s="4"/>
      <c r="R20" s="4"/>
      <c r="S20" s="4"/>
      <c r="T20" s="4"/>
      <c r="U20" s="4"/>
      <c r="V20" s="5"/>
    </row>
    <row r="21" spans="1:22">
      <c r="A21" s="4"/>
      <c r="B21" s="5"/>
      <c r="C21" s="4"/>
      <c r="D21" s="4"/>
      <c r="E21" s="4"/>
      <c r="F21" s="4"/>
      <c r="G21" s="4"/>
      <c r="H21" s="4"/>
      <c r="I21" s="4"/>
      <c r="J21" s="4"/>
      <c r="K21" s="4"/>
      <c r="L21" s="4"/>
      <c r="M21" s="4"/>
      <c r="N21" s="4"/>
      <c r="O21" s="4"/>
      <c r="P21" s="4"/>
      <c r="Q21" s="4"/>
      <c r="R21" s="4"/>
      <c r="S21" s="4"/>
      <c r="T21" s="4"/>
      <c r="U21" s="4"/>
      <c r="V21" s="5"/>
    </row>
    <row r="22" spans="1:22">
      <c r="A22" s="4"/>
      <c r="B22" s="5"/>
      <c r="C22" s="4"/>
      <c r="D22" s="4"/>
      <c r="E22" s="4"/>
      <c r="F22" s="4"/>
      <c r="G22" s="4"/>
      <c r="H22" s="4"/>
      <c r="I22" s="4"/>
      <c r="J22" s="4"/>
      <c r="K22" s="4"/>
      <c r="L22" s="4"/>
      <c r="M22" s="4"/>
      <c r="N22" s="4"/>
      <c r="O22" s="4"/>
      <c r="P22" s="4"/>
      <c r="Q22" s="4"/>
      <c r="R22" s="4"/>
      <c r="S22" s="4"/>
      <c r="T22" s="4"/>
      <c r="U22" s="4"/>
      <c r="V22" s="5"/>
    </row>
    <row r="23" spans="1:22">
      <c r="A23" s="4"/>
      <c r="B23" s="5"/>
      <c r="C23" s="4"/>
      <c r="D23" s="4"/>
      <c r="E23" s="4"/>
      <c r="F23" s="4"/>
      <c r="G23" s="4"/>
      <c r="H23" s="4"/>
      <c r="I23" s="4"/>
      <c r="J23" s="4"/>
      <c r="K23" s="4"/>
      <c r="L23" s="4"/>
      <c r="M23" s="4"/>
      <c r="N23" s="4"/>
      <c r="O23" s="4"/>
      <c r="P23" s="4"/>
      <c r="Q23" s="4"/>
      <c r="R23" s="4"/>
      <c r="S23" s="4"/>
      <c r="T23" s="4"/>
      <c r="U23" s="4"/>
      <c r="V23" s="5"/>
    </row>
    <row r="24" spans="1:22">
      <c r="A24" s="4"/>
      <c r="B24" s="5"/>
      <c r="C24" s="4"/>
      <c r="D24" s="4"/>
      <c r="E24" s="4"/>
      <c r="F24" s="4"/>
      <c r="G24" s="4"/>
      <c r="H24" s="4"/>
      <c r="I24" s="4"/>
      <c r="J24" s="4"/>
      <c r="K24" s="4"/>
      <c r="L24" s="4"/>
      <c r="M24" s="4"/>
      <c r="N24" s="4"/>
      <c r="O24" s="4"/>
      <c r="P24" s="4"/>
      <c r="Q24" s="4"/>
      <c r="R24" s="4"/>
      <c r="S24" s="4"/>
      <c r="T24" s="4"/>
      <c r="U24" s="4"/>
      <c r="V24" s="5"/>
    </row>
    <row r="25" spans="1:22">
      <c r="A25" s="4"/>
      <c r="B25" s="5"/>
      <c r="C25" s="4"/>
      <c r="D25" s="4"/>
      <c r="E25" s="4"/>
      <c r="F25" s="4"/>
      <c r="G25" s="4"/>
      <c r="H25" s="4"/>
      <c r="I25" s="4"/>
      <c r="J25" s="4"/>
      <c r="K25" s="4"/>
      <c r="L25" s="4"/>
      <c r="M25" s="4"/>
      <c r="N25" s="4"/>
      <c r="O25" s="4"/>
      <c r="P25" s="4"/>
      <c r="Q25" s="4"/>
      <c r="R25" s="4"/>
      <c r="S25" s="4"/>
      <c r="T25" s="4"/>
      <c r="U25" s="4"/>
      <c r="V25" s="5"/>
    </row>
    <row r="26" spans="1:22">
      <c r="A26" s="4"/>
      <c r="B26" s="5"/>
      <c r="C26" s="4"/>
      <c r="D26" s="4"/>
      <c r="E26" s="4"/>
      <c r="F26" s="4"/>
      <c r="G26" s="4"/>
      <c r="H26" s="4"/>
      <c r="I26" s="4"/>
      <c r="J26" s="4"/>
      <c r="K26" s="4"/>
      <c r="L26" s="4"/>
      <c r="M26" s="4"/>
      <c r="N26" s="4"/>
      <c r="O26" s="4"/>
      <c r="P26" s="4"/>
      <c r="Q26" s="4"/>
      <c r="R26" s="4"/>
      <c r="S26" s="4"/>
      <c r="T26" s="4"/>
      <c r="U26" s="4"/>
      <c r="V26" s="5"/>
    </row>
    <row r="27" spans="1:22">
      <c r="A27" s="4"/>
      <c r="B27" s="5"/>
      <c r="C27" s="4"/>
      <c r="D27" s="4"/>
      <c r="E27" s="4"/>
      <c r="F27" s="4"/>
      <c r="G27" s="4"/>
      <c r="H27" s="4"/>
      <c r="I27" s="4"/>
      <c r="J27" s="4"/>
      <c r="K27" s="4"/>
      <c r="L27" s="4"/>
      <c r="M27" s="4"/>
      <c r="N27" s="4"/>
      <c r="O27" s="4"/>
      <c r="P27" s="4"/>
      <c r="Q27" s="4"/>
      <c r="R27" s="4"/>
      <c r="S27" s="4"/>
      <c r="T27" s="4"/>
      <c r="U27" s="4"/>
      <c r="V27" s="5"/>
    </row>
    <row r="28" spans="1:22">
      <c r="A28" s="4"/>
      <c r="B28" s="5"/>
      <c r="C28" s="4"/>
      <c r="D28" s="4"/>
      <c r="E28" s="4"/>
      <c r="F28" s="4"/>
      <c r="G28" s="4"/>
      <c r="H28" s="4"/>
      <c r="I28" s="4"/>
      <c r="J28" s="4"/>
      <c r="K28" s="4"/>
      <c r="L28" s="4"/>
      <c r="M28" s="4"/>
      <c r="N28" s="4"/>
      <c r="O28" s="4"/>
      <c r="P28" s="4"/>
      <c r="Q28" s="4"/>
      <c r="R28" s="4"/>
      <c r="S28" s="4"/>
      <c r="T28" s="4"/>
      <c r="U28" s="4"/>
      <c r="V28" s="5"/>
    </row>
    <row r="29" spans="1:22">
      <c r="A29" s="4"/>
      <c r="B29" s="5"/>
      <c r="C29" s="4"/>
      <c r="D29" s="4"/>
      <c r="E29" s="4"/>
      <c r="F29" s="4"/>
      <c r="G29" s="4"/>
      <c r="H29" s="4"/>
      <c r="I29" s="4"/>
      <c r="J29" s="4"/>
      <c r="K29" s="4"/>
      <c r="L29" s="4"/>
      <c r="M29" s="4"/>
      <c r="N29" s="4"/>
      <c r="O29" s="4"/>
      <c r="P29" s="4"/>
      <c r="Q29" s="4"/>
      <c r="R29" s="4"/>
      <c r="S29" s="4"/>
      <c r="T29" s="4"/>
      <c r="U29" s="4"/>
      <c r="V29" s="5"/>
    </row>
    <row r="30" spans="1:22">
      <c r="A30" s="4"/>
      <c r="B30" s="5"/>
      <c r="C30" s="4"/>
      <c r="D30" s="4"/>
      <c r="E30" s="4"/>
      <c r="F30" s="4"/>
      <c r="G30" s="4"/>
      <c r="H30" s="4"/>
      <c r="I30" s="4"/>
      <c r="J30" s="4"/>
      <c r="K30" s="4"/>
      <c r="L30" s="4"/>
      <c r="M30" s="4"/>
      <c r="N30" s="4"/>
      <c r="O30" s="4"/>
      <c r="P30" s="4"/>
      <c r="Q30" s="4"/>
      <c r="R30" s="4"/>
      <c r="S30" s="4"/>
      <c r="T30" s="4"/>
      <c r="U30" s="4"/>
      <c r="V30" s="5"/>
    </row>
    <row r="31" spans="1:22">
      <c r="A31" s="4"/>
      <c r="B31" s="5"/>
      <c r="C31" s="4"/>
      <c r="D31" s="4"/>
      <c r="E31" s="4"/>
      <c r="F31" s="4"/>
      <c r="G31" s="4"/>
      <c r="H31" s="4"/>
      <c r="I31" s="4"/>
      <c r="J31" s="4"/>
      <c r="K31" s="4"/>
      <c r="L31" s="4"/>
      <c r="M31" s="4"/>
      <c r="N31" s="4"/>
      <c r="O31" s="4"/>
      <c r="P31" s="4"/>
      <c r="Q31" s="4"/>
      <c r="R31" s="4"/>
      <c r="S31" s="4"/>
      <c r="T31" s="4"/>
      <c r="U31" s="4"/>
      <c r="V31" s="5"/>
    </row>
    <row r="32" spans="1:22">
      <c r="A32" s="4"/>
      <c r="B32" s="5"/>
      <c r="C32" s="4"/>
      <c r="D32" s="4"/>
      <c r="E32" s="4"/>
      <c r="F32" s="4"/>
      <c r="G32" s="4"/>
      <c r="H32" s="4"/>
      <c r="I32" s="4"/>
      <c r="J32" s="4"/>
      <c r="K32" s="4"/>
      <c r="L32" s="4"/>
      <c r="M32" s="4"/>
      <c r="N32" s="4"/>
      <c r="O32" s="4"/>
      <c r="P32" s="4"/>
      <c r="Q32" s="4"/>
      <c r="R32" s="4"/>
      <c r="S32" s="4"/>
      <c r="T32" s="4"/>
      <c r="U32" s="4"/>
      <c r="V32" s="5"/>
    </row>
    <row r="33" spans="1:22">
      <c r="A33" s="4"/>
      <c r="B33" s="5"/>
      <c r="C33" s="4"/>
      <c r="D33" s="4"/>
      <c r="E33" s="4"/>
      <c r="F33" s="4"/>
      <c r="G33" s="4"/>
      <c r="H33" s="4"/>
      <c r="I33" s="4"/>
      <c r="J33" s="4"/>
      <c r="K33" s="4"/>
      <c r="L33" s="4"/>
      <c r="M33" s="4"/>
      <c r="N33" s="4"/>
      <c r="O33" s="4"/>
      <c r="P33" s="4"/>
      <c r="Q33" s="4"/>
      <c r="R33" s="4"/>
      <c r="S33" s="4"/>
      <c r="T33" s="4"/>
      <c r="U33" s="4"/>
      <c r="V33" s="5"/>
    </row>
    <row r="34" spans="1:22">
      <c r="A34" s="4"/>
      <c r="B34" s="5"/>
      <c r="C34" s="4"/>
      <c r="D34" s="4"/>
      <c r="E34" s="4"/>
      <c r="F34" s="4"/>
      <c r="G34" s="4"/>
      <c r="H34" s="4"/>
      <c r="I34" s="4"/>
      <c r="J34" s="4"/>
      <c r="K34" s="4"/>
      <c r="L34" s="4"/>
      <c r="M34" s="4"/>
      <c r="N34" s="4"/>
      <c r="O34" s="4"/>
      <c r="P34" s="4"/>
      <c r="Q34" s="4"/>
      <c r="R34" s="4"/>
      <c r="S34" s="4"/>
      <c r="T34" s="4"/>
      <c r="U34" s="4"/>
      <c r="V34" s="5"/>
    </row>
  </sheetData>
  <mergeCells count="2">
    <mergeCell ref="A1:V1"/>
    <mergeCell ref="A2:V2"/>
  </mergeCells>
  <conditionalFormatting sqref="N5:N34">
    <cfRule type="expression" dxfId="5" priority="1">
      <formula>N5="Critical"</formula>
    </cfRule>
    <cfRule type="expression" dxfId="4" priority="2">
      <formula>N5="High"</formula>
    </cfRule>
  </conditionalFormatting>
  <conditionalFormatting sqref="P5:P34">
    <cfRule type="expression" dxfId="3" priority="3">
      <formula>P5="Closed"</formula>
    </cfRule>
    <cfRule type="expression" dxfId="2" priority="4">
      <formula>P5="Reopened"</formula>
    </cfRule>
  </conditionalFormatting>
  <conditionalFormatting sqref="U5:U34">
    <cfRule type="expression" dxfId="1" priority="5">
      <formula>U5="Passed"</formula>
    </cfRule>
    <cfRule type="expression" dxfId="0" priority="6">
      <formula>U5="Failed"</formula>
    </cfRule>
  </conditionalFormatting>
  <dataValidations count="6">
    <dataValidation type="list" sqref="C5:C34">
      <formula1>"Flight Search,Fare,Passenger,Payment,Booking / PNR,Cancellation,Refund,End-to-End,Other"</formula1>
    </dataValidation>
    <dataValidation type="list" sqref="N5:N34">
      <formula1>"Critical,High,Medium,Low"</formula1>
    </dataValidation>
    <dataValidation type="list" sqref="O5:O34">
      <formula1>"High,Medium,Low"</formula1>
    </dataValidation>
    <dataValidation type="list" sqref="P5:P34">
      <formula1>"New,Open,In Progress,Fixed,Ready for Retest,Reopened,Deferred,Rejected,Closed,Cannot Reproduce"</formula1>
    </dataValidation>
    <dataValidation type="list" sqref="Q5:Q34">
      <formula1>"Always,Intermittent,Once,Cannot Reproduce"</formula1>
    </dataValidation>
    <dataValidation type="list" sqref="U5:U34">
      <formula1>"Not Retested,Passed,Failed,Blocked,Not Applicable"</formula1>
    </dataValidation>
  </dataValidations>
  <hyperlinks>
    <hyperlink ref="H5" r:id="rId1"/>
    <hyperlink ref="H6" r:id="rId2"/>
    <hyperlink ref="H7" r:id="rId3"/>
    <hyperlink ref="H8" r:id="rId4"/>
    <hyperlink ref="H9" r:id="rId5"/>
  </hyperlinks>
  <pageMargins left="0.7" right="0.7" top="0.75" bottom="0.75" header="0.3" footer="0.3"/>
  <pageSetup orientation="portrait" r:id="rId6"/>
  <tableParts count="1">
    <tablePart r:id="rId7"/>
  </tableParts>
</worksheet>
</file>

<file path=xl/worksheets/sheet2.xml><?xml version="1.0" encoding="utf-8"?>
<worksheet xmlns="http://schemas.openxmlformats.org/spreadsheetml/2006/main" xmlns:r="http://schemas.openxmlformats.org/officeDocument/2006/relationships">
  <dimension ref="A1:H11"/>
  <sheetViews>
    <sheetView workbookViewId="0">
      <selection sqref="A1:H1"/>
    </sheetView>
  </sheetViews>
  <sheetFormatPr defaultRowHeight="13.8"/>
  <cols>
    <col min="1" max="1" width="22" customWidth="1"/>
    <col min="2" max="2" width="14" customWidth="1"/>
    <col min="4" max="4" width="22" customWidth="1"/>
    <col min="5" max="6" width="14" customWidth="1"/>
  </cols>
  <sheetData>
    <row r="1" spans="1:8" ht="19.2">
      <c r="A1" s="11" t="s">
        <v>24</v>
      </c>
      <c r="B1" s="11"/>
      <c r="C1" s="11"/>
      <c r="D1" s="11"/>
      <c r="E1" s="11"/>
      <c r="F1" s="11"/>
      <c r="G1" s="11"/>
      <c r="H1" s="11"/>
    </row>
    <row r="3" spans="1:8">
      <c r="A3" s="1" t="s">
        <v>25</v>
      </c>
      <c r="B3" s="1" t="s">
        <v>26</v>
      </c>
      <c r="C3" s="2"/>
      <c r="D3" s="1" t="s">
        <v>4</v>
      </c>
      <c r="E3" s="1" t="s">
        <v>27</v>
      </c>
      <c r="F3" s="1" t="s">
        <v>28</v>
      </c>
    </row>
    <row r="4" spans="1:8">
      <c r="A4" s="2" t="s">
        <v>29</v>
      </c>
      <c r="B4" s="2">
        <f>COUNTA('Defect Log'!A5:A34)</f>
        <v>5</v>
      </c>
      <c r="C4" s="2"/>
      <c r="D4" s="2" t="s">
        <v>30</v>
      </c>
      <c r="E4" s="2">
        <f>COUNTIF('Defect Log'!C5:C34,D4)</f>
        <v>1</v>
      </c>
      <c r="F4" s="2">
        <f>COUNTIFS('Defect Log'!C5:C34,D4,'Defect Log'!N5:N34,"Critical")+COUNTIFS('Defect Log'!C5:C34,D4,'Defect Log'!N5:N34,"High")</f>
        <v>0</v>
      </c>
    </row>
    <row r="5" spans="1:8">
      <c r="A5" s="2" t="s">
        <v>31</v>
      </c>
      <c r="B5" s="2">
        <f>COUNTIF('Defect Log'!P5:P34,"New")+COUNTIF('Defect Log'!P5:P34,"Open")+COUNTIF('Defect Log'!P5:P34,"In Progress")+COUNTIF('Defect Log'!P5:P34,"Ready for Retest")+COUNTIF('Defect Log'!P5:P34,"Reopened")</f>
        <v>4</v>
      </c>
      <c r="C5" s="2"/>
      <c r="D5" s="2" t="s">
        <v>32</v>
      </c>
      <c r="E5" s="2">
        <f>COUNTIF('Defect Log'!C5:C34,D5)</f>
        <v>0</v>
      </c>
      <c r="F5" s="2">
        <f>COUNTIFS('Defect Log'!C5:C34,D5,'Defect Log'!N5:N34,"Critical")+COUNTIFS('Defect Log'!C5:C34,D5,'Defect Log'!N5:N34,"High")</f>
        <v>0</v>
      </c>
    </row>
    <row r="6" spans="1:8">
      <c r="A6" s="2" t="s">
        <v>33</v>
      </c>
      <c r="B6" s="2">
        <f>COUNTIF('Defect Log'!N5:N34,"Critical")</f>
        <v>0</v>
      </c>
      <c r="C6" s="2"/>
      <c r="D6" s="2" t="s">
        <v>34</v>
      </c>
      <c r="E6" s="2">
        <f>COUNTIF('Defect Log'!C5:C34,D6)</f>
        <v>2</v>
      </c>
      <c r="F6" s="2">
        <f>COUNTIFS('Defect Log'!C5:C34,D6,'Defect Log'!N5:N34,"Critical")+COUNTIFS('Defect Log'!C5:C34,D6,'Defect Log'!N5:N34,"High")</f>
        <v>0</v>
      </c>
    </row>
    <row r="7" spans="1:8">
      <c r="A7" s="2" t="s">
        <v>35</v>
      </c>
      <c r="B7" s="2">
        <f>COUNTIF('Defect Log'!N5:N34,"High")</f>
        <v>2</v>
      </c>
      <c r="C7" s="2"/>
      <c r="D7" s="2" t="s">
        <v>36</v>
      </c>
      <c r="E7" s="2">
        <f>COUNTIF('Defect Log'!C5:C34,D7)</f>
        <v>1</v>
      </c>
      <c r="F7" s="2">
        <f>COUNTIFS('Defect Log'!C5:C34,D7,'Defect Log'!N5:N34,"Critical")+COUNTIFS('Defect Log'!C5:C34,D7,'Defect Log'!N5:N34,"High")</f>
        <v>1</v>
      </c>
    </row>
    <row r="8" spans="1:8">
      <c r="A8" s="2" t="s">
        <v>37</v>
      </c>
      <c r="B8" s="2">
        <f>COUNTIF('Defect Log'!N5:N34,"Medium")</f>
        <v>3</v>
      </c>
      <c r="C8" s="2"/>
      <c r="D8" s="2" t="s">
        <v>38</v>
      </c>
      <c r="E8" s="2">
        <f>COUNTIF('Defect Log'!C5:C34,D8)</f>
        <v>0</v>
      </c>
      <c r="F8" s="2">
        <f>COUNTIFS('Defect Log'!C5:C34,D8,'Defect Log'!N5:N34,"Critical")+COUNTIFS('Defect Log'!C5:C34,D8,'Defect Log'!N5:N34,"High")</f>
        <v>0</v>
      </c>
    </row>
    <row r="9" spans="1:8">
      <c r="A9" s="2" t="s">
        <v>39</v>
      </c>
      <c r="B9" s="2">
        <f>COUNTIF('Defect Log'!N5:N34,"Low")</f>
        <v>0</v>
      </c>
      <c r="C9" s="2"/>
      <c r="D9" s="2" t="s">
        <v>40</v>
      </c>
      <c r="E9" s="2">
        <f>COUNTIF('Defect Log'!C5:C34,D9)</f>
        <v>1</v>
      </c>
      <c r="F9" s="2">
        <f>COUNTIFS('Defect Log'!C5:C34,D9,'Defect Log'!N5:N34,"Critical")+COUNTIFS('Defect Log'!C5:C34,D9,'Defect Log'!N5:N34,"High")</f>
        <v>1</v>
      </c>
    </row>
    <row r="10" spans="1:8">
      <c r="A10" s="2" t="s">
        <v>41</v>
      </c>
      <c r="B10" s="2">
        <f>COUNTIF('Defect Log'!P5:P34,"Closed")</f>
        <v>1</v>
      </c>
      <c r="C10" s="2"/>
      <c r="D10" s="2" t="s">
        <v>42</v>
      </c>
      <c r="E10" s="2">
        <f>COUNTIF('Defect Log'!C5:C34,D10)</f>
        <v>0</v>
      </c>
      <c r="F10" s="2">
        <f>COUNTIFS('Defect Log'!C5:C34,D10,'Defect Log'!N5:N34,"Critical")+COUNTIFS('Defect Log'!C5:C34,D10,'Defect Log'!N5:N34,"High")</f>
        <v>0</v>
      </c>
    </row>
    <row r="11" spans="1:8">
      <c r="A11" s="2"/>
      <c r="B11" s="2"/>
      <c r="C11" s="2"/>
      <c r="D11" s="2" t="s">
        <v>43</v>
      </c>
      <c r="E11" s="2">
        <f>COUNTIF('Defect Log'!C5:C34,D11)</f>
        <v>0</v>
      </c>
      <c r="F11" s="2">
        <f>COUNTIFS('Defect Log'!C5:C34,D11,'Defect Log'!N5:N34,"Critical")+COUNTIFS('Defect Log'!C5:C34,D11,'Defect Log'!N5:N34,"High")</f>
        <v>0</v>
      </c>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12"/>
  <sheetViews>
    <sheetView workbookViewId="0">
      <selection sqref="A1:C1"/>
    </sheetView>
  </sheetViews>
  <sheetFormatPr defaultRowHeight="13.8"/>
  <cols>
    <col min="1" max="1" width="20" customWidth="1"/>
    <col min="2" max="2" width="32" customWidth="1"/>
    <col min="3" max="3" width="55" customWidth="1"/>
  </cols>
  <sheetData>
    <row r="1" spans="1:3" ht="16.8">
      <c r="A1" s="13" t="s">
        <v>44</v>
      </c>
      <c r="B1" s="13"/>
      <c r="C1" s="13"/>
    </row>
    <row r="3" spans="1:3">
      <c r="A3" s="1" t="s">
        <v>45</v>
      </c>
      <c r="B3" s="1" t="s">
        <v>46</v>
      </c>
      <c r="C3" s="1" t="s">
        <v>47</v>
      </c>
    </row>
    <row r="4" spans="1:3" ht="27.6">
      <c r="A4" s="2" t="s">
        <v>15</v>
      </c>
      <c r="B4" s="2" t="s">
        <v>48</v>
      </c>
      <c r="C4" s="2" t="s">
        <v>49</v>
      </c>
    </row>
    <row r="5" spans="1:3">
      <c r="A5" s="2" t="s">
        <v>16</v>
      </c>
      <c r="B5" s="2" t="s">
        <v>50</v>
      </c>
      <c r="C5" s="2" t="s">
        <v>51</v>
      </c>
    </row>
    <row r="6" spans="1:3">
      <c r="A6" s="2" t="s">
        <v>17</v>
      </c>
      <c r="B6" s="2" t="s">
        <v>52</v>
      </c>
      <c r="C6" s="2" t="s">
        <v>53</v>
      </c>
    </row>
    <row r="7" spans="1:3">
      <c r="A7" s="2" t="s">
        <v>18</v>
      </c>
      <c r="B7" s="2" t="s">
        <v>54</v>
      </c>
      <c r="C7" s="2" t="s">
        <v>55</v>
      </c>
    </row>
    <row r="8" spans="1:3">
      <c r="A8" s="2" t="s">
        <v>13</v>
      </c>
      <c r="B8" s="2" t="s">
        <v>56</v>
      </c>
      <c r="C8" s="2" t="s">
        <v>57</v>
      </c>
    </row>
    <row r="9" spans="1:3">
      <c r="A9" s="2" t="s">
        <v>14</v>
      </c>
      <c r="B9" s="2" t="s">
        <v>58</v>
      </c>
      <c r="C9" s="2" t="s">
        <v>59</v>
      </c>
    </row>
    <row r="10" spans="1:3" ht="27.6">
      <c r="A10" s="2" t="s">
        <v>60</v>
      </c>
      <c r="B10" s="2" t="s">
        <v>61</v>
      </c>
      <c r="C10" s="2" t="s">
        <v>62</v>
      </c>
    </row>
    <row r="11" spans="1:3">
      <c r="A11" s="2" t="s">
        <v>22</v>
      </c>
      <c r="B11" s="2" t="s">
        <v>63</v>
      </c>
      <c r="C11" s="2" t="s">
        <v>64</v>
      </c>
    </row>
    <row r="12" spans="1:3" ht="27.6">
      <c r="A12" s="2" t="s">
        <v>65</v>
      </c>
      <c r="B12" s="2" t="s">
        <v>66</v>
      </c>
      <c r="C12" s="2" t="s">
        <v>67</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Defect Log</vt:lpstr>
      <vt:lpstr>Summary</vt:lpstr>
      <vt:lpstr>Lists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2026-09-11T09:21:34Z</dcterms:modified>
</cp:coreProperties>
</file>