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204" yWindow="588" windowWidth="22716" windowHeight="8676"/>
  </bookViews>
  <sheets>
    <sheet name="Test Cases" sheetId="1" r:id="rId1"/>
    <sheet name="Coverage Summary" sheetId="2" r:id="rId2"/>
    <sheet name="Lists" sheetId="3" r:id="rId3"/>
  </sheets>
  <calcPr calcId="125725"/>
</workbook>
</file>

<file path=xl/calcChain.xml><?xml version="1.0" encoding="utf-8"?>
<calcChain xmlns="http://schemas.openxmlformats.org/spreadsheetml/2006/main">
  <c r="E11" i="2"/>
  <c r="F11" s="1"/>
  <c r="E10"/>
  <c r="F10" s="1"/>
  <c r="E9"/>
  <c r="E8"/>
  <c r="B8"/>
  <c r="E7"/>
  <c r="B7"/>
  <c r="E6"/>
  <c r="B6"/>
  <c r="E5"/>
  <c r="F5" s="1"/>
  <c r="B5"/>
  <c r="E4"/>
  <c r="B4"/>
  <c r="F9" s="1"/>
  <c r="F4" l="1"/>
  <c r="F8"/>
  <c r="F7"/>
  <c r="F6"/>
</calcChain>
</file>

<file path=xl/sharedStrings.xml><?xml version="1.0" encoding="utf-8"?>
<sst xmlns="http://schemas.openxmlformats.org/spreadsheetml/2006/main" count="599" uniqueCount="392">
  <si>
    <t>Test Case ID</t>
  </si>
  <si>
    <t>Requirement ID</t>
  </si>
  <si>
    <t>Scenario ID</t>
  </si>
  <si>
    <t>Module</t>
  </si>
  <si>
    <t>Title</t>
  </si>
  <si>
    <t>Preconditions</t>
  </si>
  <si>
    <t>Test Data</t>
  </si>
  <si>
    <t>Steps</t>
  </si>
  <si>
    <t>Expected Result</t>
  </si>
  <si>
    <t>Priority</t>
  </si>
  <si>
    <t>Test Type</t>
  </si>
  <si>
    <t>Execution Status</t>
  </si>
  <si>
    <t>Actual Result</t>
  </si>
  <si>
    <t>Defect ID</t>
  </si>
  <si>
    <t>Evidence / Screenshot</t>
  </si>
  <si>
    <t>TC_FS_001</t>
  </si>
  <si>
    <t>REQ-FS-001</t>
  </si>
  <si>
    <t>TS_FS_001</t>
  </si>
  <si>
    <t>Flight Search</t>
  </si>
  <si>
    <t>Verify successful flight search using valid mandatory search criteria</t>
  </si>
  <si>
    <t>User has access to the flight search page.</t>
  </si>
  <si>
    <t>Valid origin; valid destination; supported future date; 1 Adult</t>
  </si>
  <si>
    <t>1. Open flight search page
2. Enter valid origin
3. Enter valid destination
4. Select a supported future date
5. Select 1 Adult
6. Click Search</t>
  </si>
  <si>
    <t>Available flights matching the selected search criteria should be displayed.</t>
  </si>
  <si>
    <t>High</t>
  </si>
  <si>
    <t>Positive</t>
  </si>
  <si>
    <t>TC_FS_002</t>
  </si>
  <si>
    <t>REQ-FS-002</t>
  </si>
  <si>
    <t>TS_FS_002</t>
  </si>
  <si>
    <t>Verify flight search is prevented when origin and destination are the same</t>
  </si>
  <si>
    <t>User is on the flight search page.</t>
  </si>
  <si>
    <t>Origin = same as Destination</t>
  </si>
  <si>
    <t>1. Select an origin
2. Select the same location as destination
3. Attempt to search</t>
  </si>
  <si>
    <t>The system should prevent the search and show appropriate validation or block the invalid combination.</t>
  </si>
  <si>
    <t>Negative</t>
  </si>
  <si>
    <t>DEF-FS-001</t>
  </si>
  <si>
    <t>TC_FS_003</t>
  </si>
  <si>
    <t>REQ-FS-003</t>
  </si>
  <si>
    <t>TS_FS_003</t>
  </si>
  <si>
    <t>Verify past departure date is prevented or appropriately handled</t>
  </si>
  <si>
    <t>Departure date = past date</t>
  </si>
  <si>
    <t>1. Enter valid origin and destination
2. Attempt to select/enter a past departure date
3. Attempt to search</t>
  </si>
  <si>
    <t>Past travel date should not be accepted; the system should prevent submission or show appropriate validation.</t>
  </si>
  <si>
    <t>TC_FS_004</t>
  </si>
  <si>
    <t>REQ-FS-004</t>
  </si>
  <si>
    <t>TS_FS_004</t>
  </si>
  <si>
    <t>Verify infant cannot be selected without an accompanying adult</t>
  </si>
  <si>
    <t>Passenger selector is available.</t>
  </si>
  <si>
    <t>Adult = 0; Infant = 1</t>
  </si>
  <si>
    <t>1. Open passenger selector
2. Set adult count to 0 if permitted
3. Attempt to select 1 infant
4. Continue/search</t>
  </si>
  <si>
    <t>The system should prevent an infant-only passenger combination or display appropriate validation.</t>
  </si>
  <si>
    <t>Business Rule</t>
  </si>
  <si>
    <t>TC_FS_005</t>
  </si>
  <si>
    <t>TS_FS_005</t>
  </si>
  <si>
    <t>Verify search is prevented when destination is blank</t>
  </si>
  <si>
    <t>Valid origin; destination blank; supported future date</t>
  </si>
  <si>
    <t>1. Enter a valid origin
2. Leave destination blank
3. Complete remaining mandatory fields
4. Click Search</t>
  </si>
  <si>
    <t>The system should prevent search and indicate that destination is required.</t>
  </si>
  <si>
    <t>TC_FS_006</t>
  </si>
  <si>
    <t>REQ-FS-005</t>
  </si>
  <si>
    <t>TS_FS_006</t>
  </si>
  <si>
    <t>Verify search results match the selected origin and destination</t>
  </si>
  <si>
    <t>A valid flight search can be submitted.</t>
  </si>
  <si>
    <t>Valid route supported by SUT</t>
  </si>
  <si>
    <t>1. Search using valid origin and destination
2. Review returned flight cards/results</t>
  </si>
  <si>
    <t>Every displayed result should correspond to the selected route or clearly documented connecting itinerary.</t>
  </si>
  <si>
    <t>Functional</t>
  </si>
  <si>
    <t>TC_FS_007</t>
  </si>
  <si>
    <t>TS_FS_007</t>
  </si>
  <si>
    <t>Verify search results correspond to the selected travel date</t>
  </si>
  <si>
    <t>Supported future date</t>
  </si>
  <si>
    <t>1. Search for a supported route on a future date
2. Review returned results</t>
  </si>
  <si>
    <t>Displayed results should correspond to the selected travel date, subject to itinerary rules shown by the system.</t>
  </si>
  <si>
    <t>TC_FS_008</t>
  </si>
  <si>
    <t>TS_FS_008</t>
  </si>
  <si>
    <t>Verify system behavior when no flights are available</t>
  </si>
  <si>
    <t>User can submit a valid search.</t>
  </si>
  <si>
    <t>Route/date combination with no inventory, where reproducible</t>
  </si>
  <si>
    <t>1. Enter valid search criteria that return no inventory
2. Click Search</t>
  </si>
  <si>
    <t>The system should show a clear no-results state and should not display unrelated flight inventory.</t>
  </si>
  <si>
    <t>Medium</t>
  </si>
  <si>
    <t>TC_FARE_001</t>
  </si>
  <si>
    <t>REQ-FARE-001</t>
  </si>
  <si>
    <t>TS_FARE_001</t>
  </si>
  <si>
    <t>Fare</t>
  </si>
  <si>
    <t>Verify fare is displayed for a selected flight</t>
  </si>
  <si>
    <t>Flight search returns at least one result.</t>
  </si>
  <si>
    <t>Any available result</t>
  </si>
  <si>
    <t>1. Perform a valid flight search
2. Review fare shown for an available flight</t>
  </si>
  <si>
    <t>A fare should be visible for the selectable flight/fare option.</t>
  </si>
  <si>
    <t>TC_FARE_002</t>
  </si>
  <si>
    <t>REQ-FARE-002</t>
  </si>
  <si>
    <t>TS_FARE_002</t>
  </si>
  <si>
    <t>Verify total fare calculation includes applicable components correctly</t>
  </si>
  <si>
    <t>Fare breakdown is available.</t>
  </si>
  <si>
    <t>Base fare, taxes/fees, optional ancillaries where supported</t>
  </si>
  <si>
    <t>1. Select a flight
2. Review fare breakdown
3. Calculate displayed components
4. Compare with total payable amount</t>
  </si>
  <si>
    <t>Total payable amount should equal the sum of applicable fare components minus valid discounts.</t>
  </si>
  <si>
    <t>TC_FARE_003</t>
  </si>
  <si>
    <t>REQ-FARE-003</t>
  </si>
  <si>
    <t>TS_FARE_003</t>
  </si>
  <si>
    <t>Verify total fare recalculates when passenger count changes</t>
  </si>
  <si>
    <t>Passenger count can be modified before payment.</t>
  </si>
  <si>
    <t>1 Adult then 2 Adults, where supported</t>
  </si>
  <si>
    <t>1. Search/select a flight for 1 adult
2. Note total fare
3. Change passenger count to 2 adults
4. Recheck total fare</t>
  </si>
  <si>
    <t>Fare should be recalculated according to the updated passenger count and applicable pricing rules.</t>
  </si>
  <si>
    <t>TC_FARE_004</t>
  </si>
  <si>
    <t>REQ-FARE-004</t>
  </si>
  <si>
    <t>TS_FARE_005</t>
  </si>
  <si>
    <t>Verify fare remains consistent from selection to booking review</t>
  </si>
  <si>
    <t>User can continue from flight selection to review.</t>
  </si>
  <si>
    <t>Selected flight/fare</t>
  </si>
  <si>
    <t>1. Note fare at flight selection
2. Continue to review page
3. Compare fare values</t>
  </si>
  <si>
    <t>Fare should remain consistent unless a change is explicitly communicated before continuation/payment.</t>
  </si>
  <si>
    <t>Regression</t>
  </si>
  <si>
    <t>TC_FARE_005</t>
  </si>
  <si>
    <t>TS_FARE_007</t>
  </si>
  <si>
    <t>Verify final payable amount displayed before payment is correct</t>
  </si>
  <si>
    <t>User has reached payment review.</t>
  </si>
  <si>
    <t>Booking with fare components displayed</t>
  </si>
  <si>
    <t>1. Review final payable amount
2. Compare with previously displayed fare breakdown</t>
  </si>
  <si>
    <t>The final amount should match the correctly calculated booking total.</t>
  </si>
  <si>
    <t>TC_PAX_001</t>
  </si>
  <si>
    <t>REQ-PAX-001</t>
  </si>
  <si>
    <t>TS_PAX_001</t>
  </si>
  <si>
    <t>Passenger</t>
  </si>
  <si>
    <t>Verify valid passenger details are accepted</t>
  </si>
  <si>
    <t>A flight/fare has been selected.</t>
  </si>
  <si>
    <t>Valid passenger details supported by SUT</t>
  </si>
  <si>
    <t>1. Enter valid passenger details
2. Continue to next step</t>
  </si>
  <si>
    <t>Valid passenger details should be accepted and user should be able to continue.</t>
  </si>
  <si>
    <t>TC_PAX_002</t>
  </si>
  <si>
    <t>TS_PAX_002</t>
  </si>
  <si>
    <t>Verify mandatory passenger fields cannot be left blank</t>
  </si>
  <si>
    <t>Passenger details page is displayed.</t>
  </si>
  <si>
    <t>Leave one mandatory field blank</t>
  </si>
  <si>
    <t>1. Leave a mandatory passenger field blank
2. Complete other required fields
3. Attempt to continue</t>
  </si>
  <si>
    <t>The system should prevent continuation and identify the missing mandatory information.</t>
  </si>
  <si>
    <t>TC_PAX_003</t>
  </si>
  <si>
    <t>REQ-PAX-002</t>
  </si>
  <si>
    <t>TS_PAX_003</t>
  </si>
  <si>
    <t>Verify passenger name length boundary handling</t>
  </si>
  <si>
    <t>Name at supported maximum length and one character beyond, where limit is known</t>
  </si>
  <si>
    <t>1. Enter a name at the documented/observed maximum
2. Attempt to continue
3. Repeat with value exceeding the limit</t>
  </si>
  <si>
    <t>Boundary value should be handled according to the field rules; unsupported excessive input should not silently corrupt data.</t>
  </si>
  <si>
    <t>Boundary</t>
  </si>
  <si>
    <t>DEF-PAX-001</t>
  </si>
  <si>
    <t>TC_PAX_004</t>
  </si>
  <si>
    <t>REQ-PAX-004</t>
  </si>
  <si>
    <t>TS_PAX_004</t>
  </si>
  <si>
    <t>Verify duplicate passenger details are appropriately handled</t>
  </si>
  <si>
    <t>Booking supports more than one passenger.</t>
  </si>
  <si>
    <t>Two passenger entries with identical details</t>
  </si>
  <si>
    <t>1. Add multiple passengers
2. Enter identical details for two passengers
3. Attempt to continue</t>
  </si>
  <si>
    <t>The system should handle duplicate passenger details according to the defined business rule and should not create ambiguous traveler records.</t>
  </si>
  <si>
    <t>TC_PAX_005</t>
  </si>
  <si>
    <t>REQ-PAX-003</t>
  </si>
  <si>
    <t>TS_PAX_005</t>
  </si>
  <si>
    <t>Verify supported passenger categories are handled correctly</t>
  </si>
  <si>
    <t>Passenger selector/details supports passenger types.</t>
  </si>
  <si>
    <t>Adult/Child/Infant where supported</t>
  </si>
  <si>
    <t>1. Select each supported passenger type in valid combinations
2. Continue through passenger entry</t>
  </si>
  <si>
    <t>The system should apply the appropriate validation and pricing rules for each supported passenger type.</t>
  </si>
  <si>
    <t>DEF-PAX-002</t>
  </si>
  <si>
    <t>TC_PAY_001</t>
  </si>
  <si>
    <t>REQ-PAY-001</t>
  </si>
  <si>
    <t>TS_PAY_001</t>
  </si>
  <si>
    <t>Payment</t>
  </si>
  <si>
    <t>Verify successful payment using a supported test payment method</t>
  </si>
  <si>
    <t>Booking is ready for payment; sandbox/test payment method is available.</t>
  </si>
  <si>
    <t>Supported sandbox/test payment data</t>
  </si>
  <si>
    <t>1. Proceed to payment
2. Select a supported test payment method
3. Enter valid test details
4. Submit payment</t>
  </si>
  <si>
    <t>Payment should complete successfully and transaction/booking status should update appropriately.</t>
  </si>
  <si>
    <t>Critical</t>
  </si>
  <si>
    <t>DEF-PAY-001</t>
  </si>
  <si>
    <t>TC_PAY_002</t>
  </si>
  <si>
    <t>REQ-PAY-002</t>
  </si>
  <si>
    <t>TS_PAY_002</t>
  </si>
  <si>
    <t>Verify failed payment does not create a successfully paid booking</t>
  </si>
  <si>
    <t>Booking is ready for payment.</t>
  </si>
  <si>
    <t>Sandbox/test data that produces failure, if supported</t>
  </si>
  <si>
    <t>1. Submit a payment designed to fail
2. Review payment and booking status</t>
  </si>
  <si>
    <t>Payment should be marked failed/unsuccessful and booking should not be incorrectly marked as successfully paid.</t>
  </si>
  <si>
    <t>TC_PAY_003</t>
  </si>
  <si>
    <t>REQ-PAY-003</t>
  </si>
  <si>
    <t>TS_PAY_003</t>
  </si>
  <si>
    <t>Verify repeated payment submission does not create duplicate charges</t>
  </si>
  <si>
    <t>Same payment attempt submitted repeatedly where safe/test-mode</t>
  </si>
  <si>
    <t>1. Submit payment
2. Repeat/click submit again during processing where reproducible
3. Review transaction outcome</t>
  </si>
  <si>
    <t>Only one charge/transaction side effect should be created for the booking.</t>
  </si>
  <si>
    <t>Risk-Based</t>
  </si>
  <si>
    <t>TC_PAY_004</t>
  </si>
  <si>
    <t>TS_PAY_004</t>
  </si>
  <si>
    <t>Verify repeated payment submission does not create duplicate bookings</t>
  </si>
  <si>
    <t>Same booking/payment request</t>
  </si>
  <si>
    <t>1. Submit payment repeatedly where safe/test-mode
2. Review resulting booking records</t>
  </si>
  <si>
    <t>Only one logical booking should be created for the same successful transaction/request.</t>
  </si>
  <si>
    <t>TC_PAY_005</t>
  </si>
  <si>
    <t>REQ-PAY-004</t>
  </si>
  <si>
    <t>TS_PAY_005</t>
  </si>
  <si>
    <t>Verify payment timeout is handled safely</t>
  </si>
  <si>
    <t>Timeout can be simulated or tested at design level if not supported by SUT.</t>
  </si>
  <si>
    <t>Payment request timeout scenario</t>
  </si>
  <si>
    <t>1. Initiate payment
2. Simulate/observe timeout where supported
3. Check UI status and retry behavior</t>
  </si>
  <si>
    <t>The user should not receive a misleading success/failure state and retry should not cause duplicate payment/booking side effects.</t>
  </si>
  <si>
    <t>TC_PAY_006</t>
  </si>
  <si>
    <t>REQ-PAY-005</t>
  </si>
  <si>
    <t>TS_PAY_006</t>
  </si>
  <si>
    <t>Verify charged amount matches final payable booking amount</t>
  </si>
  <si>
    <t>Booking has a known final payable amount.</t>
  </si>
  <si>
    <t>Final amount from review page</t>
  </si>
  <si>
    <t>1. Note final payable amount
2. Complete test payment
3. Compare transaction amount with booking amount</t>
  </si>
  <si>
    <t>Transaction amount should match the final payable booking amount.</t>
  </si>
  <si>
    <t>TC_PAY_007</t>
  </si>
  <si>
    <t>TS_PAY_009</t>
  </si>
  <si>
    <t>Verify handling when payment succeeds but booking/PNR generation fails</t>
  </si>
  <si>
    <t>Scenario can be simulated at design level if not reproducible in demo.</t>
  </si>
  <si>
    <t>Successful payment + downstream booking/PNR failure</t>
  </si>
  <si>
    <t>1. Record payment transaction reference
2. Observe/simulate downstream booking failure
3. Check booking/PNR status
4. Check retry/reversal/recovery behavior</t>
  </si>
  <si>
    <t>System should prevent duplicate transactions and provide safe reconciliation, retry, reversal, or recovery behavior.</t>
  </si>
  <si>
    <t>Integration</t>
  </si>
  <si>
    <t>TC_PNR_001</t>
  </si>
  <si>
    <t>REQ-PNR-001</t>
  </si>
  <si>
    <t>TS_PNR_001</t>
  </si>
  <si>
    <t>Booking / PNR</t>
  </si>
  <si>
    <t>Verify successful booking creates a booking record</t>
  </si>
  <si>
    <t>Payment/booking prerequisites are satisfied.</t>
  </si>
  <si>
    <t>Valid completed booking flow</t>
  </si>
  <si>
    <t>1. Complete valid booking flow
2. Review confirmation</t>
  </si>
  <si>
    <t>A booking record/reference should be created after successful booking completion.</t>
  </si>
  <si>
    <t>TC_PNR_002</t>
  </si>
  <si>
    <t>REQ-PNR-002</t>
  </si>
  <si>
    <t>TS_PNR_002</t>
  </si>
  <si>
    <t>Verify successful booking generates a non-null non-empty PNR</t>
  </si>
  <si>
    <t>A booking completes successfully.</t>
  </si>
  <si>
    <t>Successful booking</t>
  </si>
  <si>
    <t>1. Complete booking
2. Inspect confirmation/reference details</t>
  </si>
  <si>
    <t>A valid PNR/booking reference should be present and should not be null or empty.</t>
  </si>
  <si>
    <t>TC_PNR_003</t>
  </si>
  <si>
    <t>REQ-PNR-003</t>
  </si>
  <si>
    <t>TS_PNR_003</t>
  </si>
  <si>
    <t>Verify passenger details stored in booking are correct</t>
  </si>
  <si>
    <t>A booking has been created.</t>
  </si>
  <si>
    <t>Known passenger test data</t>
  </si>
  <si>
    <t>1. Complete booking using known passenger data
2. Retrieve/review booking
3. Compare passenger details</t>
  </si>
  <si>
    <t>Stored/displayed passenger details should match the data entered during booking.</t>
  </si>
  <si>
    <t>TC_PNR_004</t>
  </si>
  <si>
    <t>TS_PNR_004</t>
  </si>
  <si>
    <t>Verify itinerary details stored in booking are correct</t>
  </si>
  <si>
    <t>Known origin/destination/date/flight</t>
  </si>
  <si>
    <t>1. Complete booking
2. Retrieve/review booking
3. Compare itinerary with selected flight</t>
  </si>
  <si>
    <t>Booking itinerary should match the selected route, date, and flight/segment information.</t>
  </si>
  <si>
    <t>TC_PNR_005</t>
  </si>
  <si>
    <t>TS_PNR_005</t>
  </si>
  <si>
    <t>Verify fare stored in booking matches final payable amount</t>
  </si>
  <si>
    <t>Known final payable amount</t>
  </si>
  <si>
    <t>1. Note final payable amount
2. Complete booking
3. Retrieve/review booking fare</t>
  </si>
  <si>
    <t>Stored booking fare should match the final payable amount, subject to any clearly disclosed post-booking charges.</t>
  </si>
  <si>
    <t>TC_PNR_006</t>
  </si>
  <si>
    <t>REQ-PNR-004</t>
  </si>
  <si>
    <t>TS_PNR_007</t>
  </si>
  <si>
    <t>Verify booking can be retrieved using supported booking reference/PNR</t>
  </si>
  <si>
    <t>A valid booking/reference exists.</t>
  </si>
  <si>
    <t>Valid PNR/booking reference</t>
  </si>
  <si>
    <t>1. Open manage/retrieve booking function
2. Enter valid reference and any required verification data
3. Submit</t>
  </si>
  <si>
    <t>The correct booking should be retrieved.</t>
  </si>
  <si>
    <t>TC_CAN_001</t>
  </si>
  <si>
    <t>REQ-CAN-001</t>
  </si>
  <si>
    <t>TS_CAN_001</t>
  </si>
  <si>
    <t>Cancellation</t>
  </si>
  <si>
    <t>Verify eligible confirmed booking can be cancelled</t>
  </si>
  <si>
    <t>A cancellable confirmed booking exists.</t>
  </si>
  <si>
    <t>Eligible booking</t>
  </si>
  <si>
    <t>1. Retrieve eligible booking
2. Start cancellation
3. Confirm cancellation</t>
  </si>
  <si>
    <t>Cancellation should complete according to booking rules and confirmation should be shown.</t>
  </si>
  <si>
    <t>DEF-CAN-001</t>
  </si>
  <si>
    <t>TC_CAN_002</t>
  </si>
  <si>
    <t>REQ-CAN-002</t>
  </si>
  <si>
    <t>TS_CAN_002</t>
  </si>
  <si>
    <t>Verify booking status updates after successful cancellation</t>
  </si>
  <si>
    <t>A booking has just been cancelled.</t>
  </si>
  <si>
    <t>Cancelled booking reference</t>
  </si>
  <si>
    <t>1. Retrieve the cancelled booking
2. Review booking status</t>
  </si>
  <si>
    <t>Booking status should reflect cancellation consistently across relevant views.</t>
  </si>
  <si>
    <t>TC_CAN_003</t>
  </si>
  <si>
    <t>TS_CAN_003</t>
  </si>
  <si>
    <t>Verify ineligible booking cannot be cancelled</t>
  </si>
  <si>
    <t>An ineligible/non-cancellable booking exists or scenario is simulated.</t>
  </si>
  <si>
    <t>Ineligible booking</t>
  </si>
  <si>
    <t>1. Retrieve ineligible booking
2. Attempt cancellation</t>
  </si>
  <si>
    <t>The system should block cancellation and clearly communicate the applicable restriction.</t>
  </si>
  <si>
    <t>TC_REF_001</t>
  </si>
  <si>
    <t>REQ-REF-001</t>
  </si>
  <si>
    <t>TS_REF_001</t>
  </si>
  <si>
    <t>Refund</t>
  </si>
  <si>
    <t>Verify eligible cancelled booking initiates refund correctly</t>
  </si>
  <si>
    <t>A refundable cancelled booking exists.</t>
  </si>
  <si>
    <t>Refund-eligible booking</t>
  </si>
  <si>
    <t>1. Cancel/retrieve eligible booking
2. Initiate or observe refund process</t>
  </si>
  <si>
    <t>Refund should be initiated according to the applicable cancellation/fare rules.</t>
  </si>
  <si>
    <t>TC_REF_002</t>
  </si>
  <si>
    <t>TS_REF_002</t>
  </si>
  <si>
    <t>Verify refundable amount is calculated correctly</t>
  </si>
  <si>
    <t>Refund calculation is displayed or available.</t>
  </si>
  <si>
    <t>Known paid amount and applicable fees/rules</t>
  </si>
  <si>
    <t>1. Determine amount paid
2. Apply displayed/documented cancellation deductions
3. Compare expected and displayed refund</t>
  </si>
  <si>
    <t>Refundable amount should match the applicable fare/cancellation rules.</t>
  </si>
  <si>
    <t>TC_E2E_001</t>
  </si>
  <si>
    <t>TS_E2E_001</t>
  </si>
  <si>
    <t>End-to-End</t>
  </si>
  <si>
    <t>Verify successful end-to-end booking from search to PNR generation</t>
  </si>
  <si>
    <t>Test-mode booking flow is available.</t>
  </si>
  <si>
    <t>Valid search, passenger and test payment data</t>
  </si>
  <si>
    <t>1. Search flight
2. Select fare
3. Enter passenger details
4. Complete test payment
5. Review confirmation/PNR</t>
  </si>
  <si>
    <t>The entire flow should complete with consistent itinerary, passenger, fare, payment and booking information.</t>
  </si>
  <si>
    <t>TC_E2E_002</t>
  </si>
  <si>
    <t>TS_E2E_003</t>
  </si>
  <si>
    <t>Verify payment retry after timeout does not create duplicate charge or booking</t>
  </si>
  <si>
    <t>Scenario can be simulated safely or maintained as a design-level case.</t>
  </si>
  <si>
    <t>Payment timeout followed by retry</t>
  </si>
  <si>
    <t>1. Initiate payment
2. Simulate/observe timeout
3. Retry same transaction
4. Inspect payment and booking outcomes</t>
  </si>
  <si>
    <t>Retry should be idempotent or otherwise safely handled so that duplicate charges/bookings are not created.</t>
  </si>
  <si>
    <t>TC_E2E_003</t>
  </si>
  <si>
    <t>TS_E2E_004</t>
  </si>
  <si>
    <t>Verify fare consistency across search, review and payment</t>
  </si>
  <si>
    <t>Valid booking flow is available.</t>
  </si>
  <si>
    <t>Known selected fare</t>
  </si>
  <si>
    <t>1. Note fare at selection
2. Continue to review
3. Note final payable amount
4. Compare before payment</t>
  </si>
  <si>
    <t>Fare should remain consistent unless a change is explicitly disclosed and accepted by the user.</t>
  </si>
  <si>
    <t>Airline Manual QA - Test Case Coverage Summary</t>
  </si>
  <si>
    <t>Metric</t>
  </si>
  <si>
    <t>Value</t>
  </si>
  <si>
    <t>Count</t>
  </si>
  <si>
    <t>% of Total</t>
  </si>
  <si>
    <t>Total Test Cases</t>
  </si>
  <si>
    <t>Critical Priority</t>
  </si>
  <si>
    <t>High Priority</t>
  </si>
  <si>
    <t>Passed</t>
  </si>
  <si>
    <t>Failed</t>
  </si>
  <si>
    <t>Field</t>
  </si>
  <si>
    <t>Allowed Values / Notes</t>
  </si>
  <si>
    <t>Critical, High, Medium, Low</t>
  </si>
  <si>
    <t>Not Executed, Passed, Failed, Blocked, Not Applicable</t>
  </si>
  <si>
    <t>Positive, Negative, Boundary, Functional, Business Rule, Regression, Risk-Based, Integration, End-to-End</t>
  </si>
  <si>
    <t>Execution Note</t>
  </si>
  <si>
    <t>All rows start as Not Executed. Update only after real execution.</t>
  </si>
  <si>
    <t>Evidence</t>
  </si>
  <si>
    <t>Add screenshot filename/path only when evidence exists.</t>
  </si>
  <si>
    <t>Project Basis</t>
  </si>
  <si>
    <t>Design is based on the portfolio requirements. Update test data/results based on actual SUT behavior.</t>
  </si>
  <si>
    <t>Valid DEL to DXB search criteria were accepted and matching flight results were displayed.</t>
  </si>
  <si>
    <t>The system allowed a search with the same origin and destination instead of preventing the invalid route combination.</t>
  </si>
  <si>
    <t>Past departure dates were disabled in the date picker and could not be selected.</t>
  </si>
  <si>
    <t>The system prevented an infant-only passenger combination without an accompanying adult.</t>
  </si>
  <si>
    <t>The search could not proceed when the destination field was left blank.</t>
  </si>
  <si>
    <t>Displayed flight results matched the selected origin and destination route.</t>
  </si>
  <si>
    <t>Displayed flight results corresponded to the selected travel date.</t>
  </si>
  <si>
    <t>For a route/date with no inventory, the system displayed a clear no-flights-found state without unrelated results.</t>
  </si>
  <si>
    <t>A fare was displayed for the available flight option.</t>
  </si>
  <si>
    <t>The displayed total fare matched the applicable fare components and taxes/fees shown by the system.</t>
  </si>
  <si>
    <t>The total fare recalculated when the passenger count was changed.</t>
  </si>
  <si>
    <t>The fare remained consistent from flight selection to booking review.</t>
  </si>
  <si>
    <t>The final payable amount was displayed correctly before payment and matched the reviewed booking total.</t>
  </si>
  <si>
    <t>Valid passenger details were accepted and the user was able to continue to the next booking stage.</t>
  </si>
  <si>
    <t>The Book/Continue option remained disabled when a mandatory passenger field was left blank, preventing continuation.</t>
  </si>
  <si>
    <t>An excessively long passenger name was accepted without validation and was later silently truncated on the invoice.</t>
  </si>
  <si>
    <t>Multiple passenger details could be entered and the booking flow handled the additional passenger record without creating an ambiguous duplicate record.</t>
  </si>
  <si>
    <t>Adult-only searches returned flights, but valid combinations including a Child/Infant returned zero flights, so supported passenger-category handling was not consistent.</t>
  </si>
  <si>
    <t>Payment completed successfully using Stripe Sandbox; Booking Status became Confirmed and Payment Status became Paid. An earlier gateway-limit error was recorded separately and retested.</t>
  </si>
  <si>
    <t>After the unsuccessful/cancelled payment attempt, no charge was made; Booking Status remained Pending and Payment Status remained Unpaid.</t>
  </si>
  <si>
    <t>After successful payment, the Make Payment option was no longer available on the paid invoice, preventing another payment attempt through the UI.</t>
  </si>
  <si>
    <t>After successful payment and refresh, only one logical booking/reference remained; no duplicate booking was observed through the UI flow.</t>
  </si>
  <si>
    <t>Blocked</t>
  </si>
  <si>
    <t>A deterministic payment-timeout condition could not be safely reproduced in the available demo and Stripe Sandbox environment.</t>
  </si>
  <si>
    <t>The final payable amount shown on the invoice matched the amount processed by Stripe Sandbox and the amount retained on the paid invoice.</t>
  </si>
  <si>
    <t>Not Executed</t>
  </si>
  <si>
    <t>The specific scenario of successful payment followed by a controlled downstream booking/PNR-generation failure was not deliberately reproducible as a safe test case; retained as a design-level integration scenario.</t>
  </si>
  <si>
    <t>After successful payment, a confirmed booking record/reference was created and displayed.</t>
  </si>
  <si>
    <t>A dedicated validation of supplier-issued PNR generation was not conclusively completed; booking references were available, but PNR issuance was not consistently demonstrated.</t>
  </si>
  <si>
    <t>Passenger details displayed on the confirmed booking/invoice matched the passenger data entered during booking.</t>
  </si>
  <si>
    <t>The confirmed booking displayed itinerary details consistent with the selected DEL to DXB route, travel date, flight information, and cabin class.</t>
  </si>
  <si>
    <t>The fare stored/displayed on the confirmed booking matched the final payable amount used during payment.</t>
  </si>
  <si>
    <t>Booking reference 80882104 was successfully retrieved through the Admin Manage Bookings interface and the expected booking details were displayed.</t>
  </si>
  <si>
    <t>A cancellation request was submitted, but it could not be completed. The Admin portal showed 'Invalid JSON response from Sabre API', PNR was Not Issued, and the booking remained Confirmed/Paid.</t>
  </si>
  <si>
    <t>Post-cancellation status validation could not be completed because the preceding cancellation did not complete successfully.</t>
  </si>
  <si>
    <t>An already-cancelled/refunded booking did not provide another cancellation option, preventing a repeat cancellation attempt.</t>
  </si>
  <si>
    <t>No suitable Cancelled + Paid refund-eligible booking was available in the demo data to observe refund initiation.</t>
  </si>
  <si>
    <t>The refundable amount displayed by the system matched the expected refund amount for the available cancelled/refunded booking.</t>
  </si>
  <si>
    <t>The end-to-end booking flow completed successfully from flight search through fare selection, passenger entry, sandbox payment, and booking confirmation.</t>
  </si>
  <si>
    <t>A deterministic payment-timeout condition could not be safely reproduced, so retry-after-timeout duplicate protection could not be validated end to end.</t>
  </si>
  <si>
    <t>The fare remained consistent across flight selection, booking review, and payment, with no unexplained discrepancy observed.</t>
  </si>
  <si>
    <t>Airline_Test-Case-Execution.doc</t>
  </si>
</sst>
</file>

<file path=xl/styles.xml><?xml version="1.0" encoding="utf-8"?>
<styleSheet xmlns="http://schemas.openxmlformats.org/spreadsheetml/2006/main">
  <fonts count="3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163A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0" fontId="1" fillId="3" borderId="0" xfId="0" applyNumberFormat="1" applyFont="1" applyFill="1" applyBorder="1" applyAlignment="1">
      <alignment horizontal="center" wrapText="1"/>
    </xf>
    <xf numFmtId="9" fontId="0" fillId="0" borderId="0" xfId="0" applyNumberFormat="1" applyFont="1" applyFill="1" applyBorder="1" applyAlignment="1">
      <alignment wrapText="1"/>
    </xf>
    <xf numFmtId="0" fontId="1" fillId="3" borderId="0" xfId="0" applyNumberFormat="1" applyFont="1" applyFill="1" applyBorder="1" applyAlignment="1">
      <alignment wrapText="1"/>
    </xf>
    <xf numFmtId="0" fontId="0" fillId="0" borderId="0" xfId="0" applyNumberFormat="1" applyFill="1" applyBorder="1" applyAlignment="1">
      <alignment vertical="top" wrapText="1"/>
    </xf>
    <xf numFmtId="0" fontId="0" fillId="0" borderId="0" xfId="0" applyAlignment="1">
      <alignment vertical="top"/>
    </xf>
    <xf numFmtId="0" fontId="2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color rgb="FF991B1B"/>
      </font>
      <fill>
        <patternFill>
          <bgColor rgb="FFFECACA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  <dxf>
      <font>
        <b/>
        <color rgb="FF991B1B"/>
      </font>
      <fill>
        <patternFill>
          <bgColor rgb="FFFECACA"/>
        </patternFill>
      </fill>
    </dxf>
    <dxf>
      <font>
        <color rgb="FF92400E"/>
      </font>
      <fill>
        <patternFill>
          <bgColor rgb="FFFEF3C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166534"/>
      </font>
      <fill>
        <patternFill>
          <bgColor rgb="FFDCFCE7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t>Test Cases by Module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cat>
            <c:strRef>
              <c:f>'Coverage Summary'!$D$4:$D$11</c:f>
              <c:strCache>
                <c:ptCount val="8"/>
                <c:pt idx="0">
                  <c:v>Flight Search</c:v>
                </c:pt>
                <c:pt idx="1">
                  <c:v>Fare</c:v>
                </c:pt>
                <c:pt idx="2">
                  <c:v>Passenger</c:v>
                </c:pt>
                <c:pt idx="3">
                  <c:v>Payment</c:v>
                </c:pt>
                <c:pt idx="4">
                  <c:v>Booking / PNR</c:v>
                </c:pt>
                <c:pt idx="5">
                  <c:v>Cancellation</c:v>
                </c:pt>
                <c:pt idx="6">
                  <c:v>Refund</c:v>
                </c:pt>
                <c:pt idx="7">
                  <c:v>End-to-End</c:v>
                </c:pt>
              </c:strCache>
            </c:strRef>
          </c:cat>
          <c:val>
            <c:numRef>
              <c:f>'Coverage Summary'!$E$4:$E$11</c:f>
              <c:numCache>
                <c:formatCode>General</c:formatCode>
                <c:ptCount val="8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6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</c:ser>
        <c:axId val="109097344"/>
        <c:axId val="109098880"/>
      </c:barChart>
      <c:catAx>
        <c:axId val="109097344"/>
        <c:scaling>
          <c:orientation val="minMax"/>
        </c:scaling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9098880"/>
        <c:crosses val="autoZero"/>
        <c:lblAlgn val="ctr"/>
        <c:lblOffset val="100"/>
      </c:catAx>
      <c:valAx>
        <c:axId val="109098880"/>
        <c:scaling>
          <c:orientation val="minMax"/>
        </c:scaling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tickLblPos val="nextTo"/>
        <c:crossAx val="109097344"/>
        <c:crosses val="autoZero"/>
        <c:crossBetween val="between"/>
      </c:valAx>
    </c:plotArea>
    <c:plotVisOnly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0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irlineTestCases" displayName="AirlineTestCases" ref="A1:O41" totalsRowShown="0">
  <tableColumns count="15">
    <tableColumn id="1" name="Test Case ID"/>
    <tableColumn id="2" name="Requirement ID"/>
    <tableColumn id="3" name="Scenario ID"/>
    <tableColumn id="4" name="Module"/>
    <tableColumn id="5" name="Title"/>
    <tableColumn id="6" name="Preconditions"/>
    <tableColumn id="7" name="Test Data"/>
    <tableColumn id="8" name="Steps"/>
    <tableColumn id="9" name="Expected Result"/>
    <tableColumn id="10" name="Priority"/>
    <tableColumn id="11" name="Test Type"/>
    <tableColumn id="12" name="Execution Status"/>
    <tableColumn id="13" name="Actual Result"/>
    <tableColumn id="14" name="Defect ID"/>
    <tableColumn id="15" name="Evidence / Screens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topLeftCell="I33" workbookViewId="0">
      <selection activeCell="M40" sqref="M40"/>
    </sheetView>
  </sheetViews>
  <sheetFormatPr defaultRowHeight="13.8"/>
  <cols>
    <col min="1" max="3" width="14" customWidth="1"/>
    <col min="4" max="4" width="18" customWidth="1"/>
    <col min="5" max="5" width="40" customWidth="1"/>
    <col min="6" max="7" width="32" customWidth="1"/>
    <col min="8" max="9" width="45" customWidth="1"/>
    <col min="10" max="10" width="12" customWidth="1"/>
    <col min="11" max="12" width="16" customWidth="1"/>
    <col min="13" max="13" width="42" customWidth="1"/>
    <col min="14" max="14" width="14" customWidth="1"/>
    <col min="15" max="15" width="24" customWidth="1"/>
  </cols>
  <sheetData>
    <row r="1" spans="1:15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82.8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7" t="s">
        <v>337</v>
      </c>
      <c r="M2" s="3" t="s">
        <v>350</v>
      </c>
      <c r="N2" s="3"/>
      <c r="O2" s="7" t="s">
        <v>391</v>
      </c>
    </row>
    <row r="3" spans="1:15" ht="41.4">
      <c r="A3" s="3" t="s">
        <v>26</v>
      </c>
      <c r="B3" s="3" t="s">
        <v>27</v>
      </c>
      <c r="C3" s="3" t="s">
        <v>28</v>
      </c>
      <c r="D3" s="3" t="s">
        <v>18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24</v>
      </c>
      <c r="K3" s="3" t="s">
        <v>34</v>
      </c>
      <c r="L3" s="3" t="s">
        <v>338</v>
      </c>
      <c r="M3" s="1" t="s">
        <v>351</v>
      </c>
      <c r="N3" s="8" t="s">
        <v>35</v>
      </c>
      <c r="O3" s="7" t="s">
        <v>391</v>
      </c>
    </row>
    <row r="4" spans="1:15" ht="41.4">
      <c r="A4" s="3" t="s">
        <v>36</v>
      </c>
      <c r="B4" s="3" t="s">
        <v>37</v>
      </c>
      <c r="C4" s="3" t="s">
        <v>38</v>
      </c>
      <c r="D4" s="3" t="s">
        <v>18</v>
      </c>
      <c r="E4" s="3" t="s">
        <v>39</v>
      </c>
      <c r="F4" s="3" t="s">
        <v>30</v>
      </c>
      <c r="G4" s="3" t="s">
        <v>40</v>
      </c>
      <c r="H4" s="3" t="s">
        <v>41</v>
      </c>
      <c r="I4" s="3" t="s">
        <v>42</v>
      </c>
      <c r="J4" s="3" t="s">
        <v>24</v>
      </c>
      <c r="K4" s="3" t="s">
        <v>34</v>
      </c>
      <c r="L4" s="3" t="s">
        <v>337</v>
      </c>
      <c r="M4" s="3" t="s">
        <v>352</v>
      </c>
      <c r="N4" s="3"/>
      <c r="O4" s="7" t="s">
        <v>391</v>
      </c>
    </row>
    <row r="5" spans="1:15" ht="55.2">
      <c r="A5" s="3" t="s">
        <v>43</v>
      </c>
      <c r="B5" s="3" t="s">
        <v>44</v>
      </c>
      <c r="C5" s="3" t="s">
        <v>45</v>
      </c>
      <c r="D5" s="3" t="s">
        <v>18</v>
      </c>
      <c r="E5" s="3" t="s">
        <v>46</v>
      </c>
      <c r="F5" s="3" t="s">
        <v>47</v>
      </c>
      <c r="G5" s="3" t="s">
        <v>48</v>
      </c>
      <c r="H5" s="3" t="s">
        <v>49</v>
      </c>
      <c r="I5" s="3" t="s">
        <v>50</v>
      </c>
      <c r="J5" s="3" t="s">
        <v>24</v>
      </c>
      <c r="K5" s="3" t="s">
        <v>51</v>
      </c>
      <c r="L5" s="3" t="s">
        <v>337</v>
      </c>
      <c r="M5" s="3" t="s">
        <v>353</v>
      </c>
      <c r="N5" s="3"/>
      <c r="O5" s="7" t="s">
        <v>391</v>
      </c>
    </row>
    <row r="6" spans="1:15" ht="55.2">
      <c r="A6" s="3" t="s">
        <v>52</v>
      </c>
      <c r="B6" s="3" t="s">
        <v>27</v>
      </c>
      <c r="C6" s="3" t="s">
        <v>53</v>
      </c>
      <c r="D6" s="3" t="s">
        <v>18</v>
      </c>
      <c r="E6" s="3" t="s">
        <v>54</v>
      </c>
      <c r="F6" s="3" t="s">
        <v>30</v>
      </c>
      <c r="G6" s="3" t="s">
        <v>55</v>
      </c>
      <c r="H6" s="3" t="s">
        <v>56</v>
      </c>
      <c r="I6" s="3" t="s">
        <v>57</v>
      </c>
      <c r="J6" s="3" t="s">
        <v>24</v>
      </c>
      <c r="K6" s="3" t="s">
        <v>34</v>
      </c>
      <c r="L6" s="3" t="s">
        <v>337</v>
      </c>
      <c r="M6" s="3" t="s">
        <v>354</v>
      </c>
      <c r="N6" s="3"/>
      <c r="O6" s="7" t="s">
        <v>391</v>
      </c>
    </row>
    <row r="7" spans="1:15" ht="41.4">
      <c r="A7" s="3" t="s">
        <v>58</v>
      </c>
      <c r="B7" s="3" t="s">
        <v>59</v>
      </c>
      <c r="C7" s="3" t="s">
        <v>60</v>
      </c>
      <c r="D7" s="3" t="s">
        <v>18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3" t="s">
        <v>24</v>
      </c>
      <c r="K7" s="3" t="s">
        <v>66</v>
      </c>
      <c r="L7" s="3" t="s">
        <v>337</v>
      </c>
      <c r="M7" s="3" t="s">
        <v>355</v>
      </c>
      <c r="N7" s="3"/>
      <c r="O7" s="7" t="s">
        <v>391</v>
      </c>
    </row>
    <row r="8" spans="1:15" ht="41.4">
      <c r="A8" s="3" t="s">
        <v>67</v>
      </c>
      <c r="B8" s="3" t="s">
        <v>59</v>
      </c>
      <c r="C8" s="3" t="s">
        <v>68</v>
      </c>
      <c r="D8" s="3" t="s">
        <v>18</v>
      </c>
      <c r="E8" s="3" t="s">
        <v>69</v>
      </c>
      <c r="F8" s="3" t="s">
        <v>62</v>
      </c>
      <c r="G8" s="3" t="s">
        <v>70</v>
      </c>
      <c r="H8" s="3" t="s">
        <v>71</v>
      </c>
      <c r="I8" s="3" t="s">
        <v>72</v>
      </c>
      <c r="J8" s="3" t="s">
        <v>24</v>
      </c>
      <c r="K8" s="3" t="s">
        <v>66</v>
      </c>
      <c r="L8" s="3" t="s">
        <v>337</v>
      </c>
      <c r="M8" s="3" t="s">
        <v>356</v>
      </c>
      <c r="N8" s="3"/>
      <c r="O8" s="7" t="s">
        <v>391</v>
      </c>
    </row>
    <row r="9" spans="1:15" ht="41.4">
      <c r="A9" s="3" t="s">
        <v>73</v>
      </c>
      <c r="B9" s="3" t="s">
        <v>59</v>
      </c>
      <c r="C9" s="3" t="s">
        <v>74</v>
      </c>
      <c r="D9" s="3" t="s">
        <v>18</v>
      </c>
      <c r="E9" s="3" t="s">
        <v>75</v>
      </c>
      <c r="F9" s="3" t="s">
        <v>76</v>
      </c>
      <c r="G9" s="3" t="s">
        <v>77</v>
      </c>
      <c r="H9" s="3" t="s">
        <v>78</v>
      </c>
      <c r="I9" s="3" t="s">
        <v>79</v>
      </c>
      <c r="J9" s="3" t="s">
        <v>80</v>
      </c>
      <c r="K9" s="3" t="s">
        <v>34</v>
      </c>
      <c r="L9" s="3" t="s">
        <v>337</v>
      </c>
      <c r="M9" s="3" t="s">
        <v>357</v>
      </c>
      <c r="N9" s="3"/>
      <c r="O9" s="7" t="s">
        <v>391</v>
      </c>
    </row>
    <row r="10" spans="1:15" ht="27.6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85</v>
      </c>
      <c r="F10" s="3" t="s">
        <v>86</v>
      </c>
      <c r="G10" s="3" t="s">
        <v>87</v>
      </c>
      <c r="H10" s="3" t="s">
        <v>88</v>
      </c>
      <c r="I10" s="3" t="s">
        <v>89</v>
      </c>
      <c r="J10" s="3" t="s">
        <v>24</v>
      </c>
      <c r="K10" s="3" t="s">
        <v>66</v>
      </c>
      <c r="L10" s="3" t="s">
        <v>337</v>
      </c>
      <c r="M10" s="3" t="s">
        <v>358</v>
      </c>
      <c r="N10" s="3"/>
      <c r="O10" s="7" t="s">
        <v>391</v>
      </c>
    </row>
    <row r="11" spans="1:15" ht="55.2">
      <c r="A11" s="3" t="s">
        <v>90</v>
      </c>
      <c r="B11" s="3" t="s">
        <v>91</v>
      </c>
      <c r="C11" s="3" t="s">
        <v>92</v>
      </c>
      <c r="D11" s="3" t="s">
        <v>84</v>
      </c>
      <c r="E11" s="3" t="s">
        <v>93</v>
      </c>
      <c r="F11" s="3" t="s">
        <v>94</v>
      </c>
      <c r="G11" s="3" t="s">
        <v>95</v>
      </c>
      <c r="H11" s="3" t="s">
        <v>96</v>
      </c>
      <c r="I11" s="3" t="s">
        <v>97</v>
      </c>
      <c r="J11" s="3" t="s">
        <v>24</v>
      </c>
      <c r="K11" s="3" t="s">
        <v>66</v>
      </c>
      <c r="L11" s="3" t="s">
        <v>337</v>
      </c>
      <c r="M11" s="3" t="s">
        <v>359</v>
      </c>
      <c r="N11" s="3"/>
      <c r="O11" s="7" t="s">
        <v>391</v>
      </c>
    </row>
    <row r="12" spans="1:15" ht="55.2">
      <c r="A12" s="3" t="s">
        <v>98</v>
      </c>
      <c r="B12" s="3" t="s">
        <v>99</v>
      </c>
      <c r="C12" s="3" t="s">
        <v>100</v>
      </c>
      <c r="D12" s="3" t="s">
        <v>84</v>
      </c>
      <c r="E12" s="3" t="s">
        <v>101</v>
      </c>
      <c r="F12" s="3" t="s">
        <v>102</v>
      </c>
      <c r="G12" s="3" t="s">
        <v>103</v>
      </c>
      <c r="H12" s="3" t="s">
        <v>104</v>
      </c>
      <c r="I12" s="3" t="s">
        <v>105</v>
      </c>
      <c r="J12" s="3" t="s">
        <v>24</v>
      </c>
      <c r="K12" s="3" t="s">
        <v>66</v>
      </c>
      <c r="L12" s="3" t="s">
        <v>337</v>
      </c>
      <c r="M12" s="3" t="s">
        <v>360</v>
      </c>
      <c r="N12" s="3"/>
      <c r="O12" s="7" t="s">
        <v>391</v>
      </c>
    </row>
    <row r="13" spans="1:15" ht="41.4">
      <c r="A13" s="3" t="s">
        <v>106</v>
      </c>
      <c r="B13" s="3" t="s">
        <v>107</v>
      </c>
      <c r="C13" s="3" t="s">
        <v>108</v>
      </c>
      <c r="D13" s="3" t="s">
        <v>84</v>
      </c>
      <c r="E13" s="3" t="s">
        <v>109</v>
      </c>
      <c r="F13" s="3" t="s">
        <v>110</v>
      </c>
      <c r="G13" s="3" t="s">
        <v>111</v>
      </c>
      <c r="H13" s="3" t="s">
        <v>112</v>
      </c>
      <c r="I13" s="3" t="s">
        <v>113</v>
      </c>
      <c r="J13" s="3" t="s">
        <v>24</v>
      </c>
      <c r="K13" s="3" t="s">
        <v>114</v>
      </c>
      <c r="L13" s="3" t="s">
        <v>337</v>
      </c>
      <c r="M13" s="3" t="s">
        <v>361</v>
      </c>
      <c r="N13" s="3"/>
      <c r="O13" s="7" t="s">
        <v>391</v>
      </c>
    </row>
    <row r="14" spans="1:15" ht="41.4">
      <c r="A14" s="3" t="s">
        <v>115</v>
      </c>
      <c r="B14" s="3" t="s">
        <v>107</v>
      </c>
      <c r="C14" s="3" t="s">
        <v>116</v>
      </c>
      <c r="D14" s="3" t="s">
        <v>84</v>
      </c>
      <c r="E14" s="3" t="s">
        <v>117</v>
      </c>
      <c r="F14" s="3" t="s">
        <v>118</v>
      </c>
      <c r="G14" s="3" t="s">
        <v>119</v>
      </c>
      <c r="H14" s="3" t="s">
        <v>120</v>
      </c>
      <c r="I14" s="3" t="s">
        <v>121</v>
      </c>
      <c r="J14" s="3" t="s">
        <v>24</v>
      </c>
      <c r="K14" s="3" t="s">
        <v>66</v>
      </c>
      <c r="L14" s="3" t="s">
        <v>337</v>
      </c>
      <c r="M14" s="3" t="s">
        <v>362</v>
      </c>
      <c r="N14" s="3"/>
      <c r="O14" s="7" t="s">
        <v>391</v>
      </c>
    </row>
    <row r="15" spans="1:15" ht="41.4">
      <c r="A15" s="3" t="s">
        <v>122</v>
      </c>
      <c r="B15" s="3" t="s">
        <v>123</v>
      </c>
      <c r="C15" s="3" t="s">
        <v>124</v>
      </c>
      <c r="D15" s="3" t="s">
        <v>125</v>
      </c>
      <c r="E15" s="3" t="s">
        <v>126</v>
      </c>
      <c r="F15" s="3" t="s">
        <v>127</v>
      </c>
      <c r="G15" s="3" t="s">
        <v>128</v>
      </c>
      <c r="H15" s="3" t="s">
        <v>129</v>
      </c>
      <c r="I15" s="3" t="s">
        <v>130</v>
      </c>
      <c r="J15" s="3" t="s">
        <v>24</v>
      </c>
      <c r="K15" s="3" t="s">
        <v>25</v>
      </c>
      <c r="L15" s="3" t="s">
        <v>337</v>
      </c>
      <c r="M15" s="3" t="s">
        <v>363</v>
      </c>
      <c r="N15" s="3"/>
      <c r="O15" s="7" t="s">
        <v>391</v>
      </c>
    </row>
    <row r="16" spans="1:15" ht="41.4">
      <c r="A16" s="3" t="s">
        <v>131</v>
      </c>
      <c r="B16" s="3" t="s">
        <v>123</v>
      </c>
      <c r="C16" s="3" t="s">
        <v>132</v>
      </c>
      <c r="D16" s="3" t="s">
        <v>125</v>
      </c>
      <c r="E16" s="3" t="s">
        <v>133</v>
      </c>
      <c r="F16" s="3" t="s">
        <v>134</v>
      </c>
      <c r="G16" s="3" t="s">
        <v>135</v>
      </c>
      <c r="H16" s="3" t="s">
        <v>136</v>
      </c>
      <c r="I16" s="3" t="s">
        <v>137</v>
      </c>
      <c r="J16" s="3" t="s">
        <v>24</v>
      </c>
      <c r="K16" s="3" t="s">
        <v>34</v>
      </c>
      <c r="L16" s="3" t="s">
        <v>337</v>
      </c>
      <c r="M16" s="1" t="s">
        <v>364</v>
      </c>
      <c r="N16" s="3"/>
      <c r="O16" s="7" t="s">
        <v>391</v>
      </c>
    </row>
    <row r="17" spans="1:15" ht="55.2">
      <c r="A17" s="3" t="s">
        <v>138</v>
      </c>
      <c r="B17" s="3" t="s">
        <v>139</v>
      </c>
      <c r="C17" s="3" t="s">
        <v>140</v>
      </c>
      <c r="D17" s="3" t="s">
        <v>125</v>
      </c>
      <c r="E17" s="3" t="s">
        <v>141</v>
      </c>
      <c r="F17" s="3" t="s">
        <v>134</v>
      </c>
      <c r="G17" s="3" t="s">
        <v>142</v>
      </c>
      <c r="H17" s="3" t="s">
        <v>143</v>
      </c>
      <c r="I17" s="3" t="s">
        <v>144</v>
      </c>
      <c r="J17" s="3" t="s">
        <v>80</v>
      </c>
      <c r="K17" s="3" t="s">
        <v>145</v>
      </c>
      <c r="L17" s="3" t="s">
        <v>338</v>
      </c>
      <c r="M17" s="3" t="s">
        <v>365</v>
      </c>
      <c r="N17" s="7" t="s">
        <v>146</v>
      </c>
      <c r="O17" s="7" t="s">
        <v>391</v>
      </c>
    </row>
    <row r="18" spans="1:15" ht="55.2">
      <c r="A18" s="3" t="s">
        <v>147</v>
      </c>
      <c r="B18" s="3" t="s">
        <v>148</v>
      </c>
      <c r="C18" s="3" t="s">
        <v>149</v>
      </c>
      <c r="D18" s="3" t="s">
        <v>125</v>
      </c>
      <c r="E18" s="7" t="s">
        <v>150</v>
      </c>
      <c r="F18" s="3" t="s">
        <v>151</v>
      </c>
      <c r="G18" s="3" t="s">
        <v>152</v>
      </c>
      <c r="H18" s="3" t="s">
        <v>153</v>
      </c>
      <c r="I18" s="3" t="s">
        <v>154</v>
      </c>
      <c r="J18" s="3" t="s">
        <v>80</v>
      </c>
      <c r="K18" s="3" t="s">
        <v>51</v>
      </c>
      <c r="L18" s="3" t="s">
        <v>337</v>
      </c>
      <c r="M18" s="3" t="s">
        <v>366</v>
      </c>
      <c r="N18" s="3"/>
      <c r="O18" s="7" t="s">
        <v>391</v>
      </c>
    </row>
    <row r="19" spans="1:15" ht="55.2">
      <c r="A19" s="3" t="s">
        <v>155</v>
      </c>
      <c r="B19" s="3" t="s">
        <v>156</v>
      </c>
      <c r="C19" s="3" t="s">
        <v>157</v>
      </c>
      <c r="D19" s="3" t="s">
        <v>125</v>
      </c>
      <c r="E19" s="7" t="s">
        <v>158</v>
      </c>
      <c r="F19" s="3" t="s">
        <v>159</v>
      </c>
      <c r="G19" s="3" t="s">
        <v>160</v>
      </c>
      <c r="H19" s="3" t="s">
        <v>161</v>
      </c>
      <c r="I19" s="3" t="s">
        <v>162</v>
      </c>
      <c r="J19" s="3" t="s">
        <v>24</v>
      </c>
      <c r="K19" s="3" t="s">
        <v>66</v>
      </c>
      <c r="L19" s="3" t="s">
        <v>338</v>
      </c>
      <c r="M19" s="3" t="s">
        <v>367</v>
      </c>
      <c r="N19" s="7" t="s">
        <v>163</v>
      </c>
      <c r="O19" s="7" t="s">
        <v>391</v>
      </c>
    </row>
    <row r="20" spans="1:15" ht="55.2">
      <c r="A20" s="3" t="s">
        <v>164</v>
      </c>
      <c r="B20" s="3" t="s">
        <v>165</v>
      </c>
      <c r="C20" s="3" t="s">
        <v>166</v>
      </c>
      <c r="D20" s="3" t="s">
        <v>167</v>
      </c>
      <c r="E20" s="3" t="s">
        <v>168</v>
      </c>
      <c r="F20" s="3" t="s">
        <v>169</v>
      </c>
      <c r="G20" s="3" t="s">
        <v>170</v>
      </c>
      <c r="H20" s="3" t="s">
        <v>171</v>
      </c>
      <c r="I20" s="3" t="s">
        <v>172</v>
      </c>
      <c r="J20" s="3" t="s">
        <v>173</v>
      </c>
      <c r="K20" s="3" t="s">
        <v>25</v>
      </c>
      <c r="L20" s="3" t="s">
        <v>337</v>
      </c>
      <c r="M20" s="3" t="s">
        <v>368</v>
      </c>
      <c r="N20" s="7" t="s">
        <v>174</v>
      </c>
      <c r="O20" s="7" t="s">
        <v>391</v>
      </c>
    </row>
    <row r="21" spans="1:15" ht="41.4">
      <c r="A21" s="3" t="s">
        <v>175</v>
      </c>
      <c r="B21" s="3" t="s">
        <v>176</v>
      </c>
      <c r="C21" s="3" t="s">
        <v>177</v>
      </c>
      <c r="D21" s="3" t="s">
        <v>167</v>
      </c>
      <c r="E21" s="3" t="s">
        <v>178</v>
      </c>
      <c r="F21" s="3" t="s">
        <v>179</v>
      </c>
      <c r="G21" s="3" t="s">
        <v>180</v>
      </c>
      <c r="H21" s="3" t="s">
        <v>181</v>
      </c>
      <c r="I21" s="3" t="s">
        <v>182</v>
      </c>
      <c r="J21" s="3" t="s">
        <v>173</v>
      </c>
      <c r="K21" s="3" t="s">
        <v>34</v>
      </c>
      <c r="L21" s="3" t="s">
        <v>337</v>
      </c>
      <c r="M21" s="3" t="s">
        <v>369</v>
      </c>
      <c r="N21" s="3"/>
      <c r="O21" s="7" t="s">
        <v>391</v>
      </c>
    </row>
    <row r="22" spans="1:15" ht="55.2">
      <c r="A22" s="3" t="s">
        <v>183</v>
      </c>
      <c r="B22" s="3" t="s">
        <v>184</v>
      </c>
      <c r="C22" s="3" t="s">
        <v>185</v>
      </c>
      <c r="D22" s="3" t="s">
        <v>167</v>
      </c>
      <c r="E22" s="3" t="s">
        <v>186</v>
      </c>
      <c r="F22" s="3" t="s">
        <v>179</v>
      </c>
      <c r="G22" s="3" t="s">
        <v>187</v>
      </c>
      <c r="H22" s="3" t="s">
        <v>188</v>
      </c>
      <c r="I22" s="3" t="s">
        <v>189</v>
      </c>
      <c r="J22" s="3" t="s">
        <v>173</v>
      </c>
      <c r="K22" s="3" t="s">
        <v>190</v>
      </c>
      <c r="L22" s="3" t="s">
        <v>337</v>
      </c>
      <c r="M22" s="3" t="s">
        <v>370</v>
      </c>
      <c r="N22" s="3"/>
      <c r="O22" s="7" t="s">
        <v>391</v>
      </c>
    </row>
    <row r="23" spans="1:15" ht="41.4">
      <c r="A23" s="3" t="s">
        <v>191</v>
      </c>
      <c r="B23" s="3" t="s">
        <v>184</v>
      </c>
      <c r="C23" s="3" t="s">
        <v>192</v>
      </c>
      <c r="D23" s="3" t="s">
        <v>167</v>
      </c>
      <c r="E23" s="3" t="s">
        <v>193</v>
      </c>
      <c r="F23" s="3" t="s">
        <v>179</v>
      </c>
      <c r="G23" s="3" t="s">
        <v>194</v>
      </c>
      <c r="H23" s="3" t="s">
        <v>195</v>
      </c>
      <c r="I23" s="3" t="s">
        <v>196</v>
      </c>
      <c r="J23" s="3" t="s">
        <v>173</v>
      </c>
      <c r="K23" s="3" t="s">
        <v>190</v>
      </c>
      <c r="L23" s="3" t="s">
        <v>337</v>
      </c>
      <c r="M23" s="3" t="s">
        <v>371</v>
      </c>
      <c r="N23" s="7"/>
      <c r="O23" s="7" t="s">
        <v>391</v>
      </c>
    </row>
    <row r="24" spans="1:15" ht="41.4">
      <c r="A24" s="3" t="s">
        <v>197</v>
      </c>
      <c r="B24" s="3" t="s">
        <v>198</v>
      </c>
      <c r="C24" s="3" t="s">
        <v>199</v>
      </c>
      <c r="D24" s="3" t="s">
        <v>167</v>
      </c>
      <c r="E24" s="3" t="s">
        <v>200</v>
      </c>
      <c r="F24" s="3" t="s">
        <v>201</v>
      </c>
      <c r="G24" s="3" t="s">
        <v>202</v>
      </c>
      <c r="H24" s="3" t="s">
        <v>203</v>
      </c>
      <c r="I24" s="3" t="s">
        <v>204</v>
      </c>
      <c r="J24" s="3" t="s">
        <v>173</v>
      </c>
      <c r="K24" s="3" t="s">
        <v>34</v>
      </c>
      <c r="L24" s="3" t="s">
        <v>372</v>
      </c>
      <c r="M24" s="3" t="s">
        <v>373</v>
      </c>
      <c r="N24" s="3"/>
      <c r="O24" s="7" t="s">
        <v>391</v>
      </c>
    </row>
    <row r="25" spans="1:15" ht="41.4">
      <c r="A25" s="3" t="s">
        <v>205</v>
      </c>
      <c r="B25" s="3" t="s">
        <v>206</v>
      </c>
      <c r="C25" s="3" t="s">
        <v>207</v>
      </c>
      <c r="D25" s="3" t="s">
        <v>167</v>
      </c>
      <c r="E25" s="3" t="s">
        <v>208</v>
      </c>
      <c r="F25" s="3" t="s">
        <v>209</v>
      </c>
      <c r="G25" s="3" t="s">
        <v>210</v>
      </c>
      <c r="H25" s="3" t="s">
        <v>211</v>
      </c>
      <c r="I25" s="3" t="s">
        <v>212</v>
      </c>
      <c r="J25" s="3" t="s">
        <v>173</v>
      </c>
      <c r="K25" s="3" t="s">
        <v>66</v>
      </c>
      <c r="L25" s="3" t="s">
        <v>337</v>
      </c>
      <c r="M25" s="3" t="s">
        <v>374</v>
      </c>
      <c r="N25" s="3"/>
      <c r="O25" s="7" t="s">
        <v>391</v>
      </c>
    </row>
    <row r="26" spans="1:15" ht="69">
      <c r="A26" s="3" t="s">
        <v>213</v>
      </c>
      <c r="B26" s="3" t="s">
        <v>206</v>
      </c>
      <c r="C26" s="3" t="s">
        <v>214</v>
      </c>
      <c r="D26" s="3" t="s">
        <v>167</v>
      </c>
      <c r="E26" s="3" t="s">
        <v>215</v>
      </c>
      <c r="F26" s="3" t="s">
        <v>216</v>
      </c>
      <c r="G26" s="3" t="s">
        <v>217</v>
      </c>
      <c r="H26" s="3" t="s">
        <v>218</v>
      </c>
      <c r="I26" s="3" t="s">
        <v>219</v>
      </c>
      <c r="J26" s="3" t="s">
        <v>173</v>
      </c>
      <c r="K26" s="3" t="s">
        <v>220</v>
      </c>
      <c r="L26" s="3" t="s">
        <v>375</v>
      </c>
      <c r="M26" s="3" t="s">
        <v>376</v>
      </c>
      <c r="N26" s="3"/>
      <c r="O26" s="7" t="s">
        <v>391</v>
      </c>
    </row>
    <row r="27" spans="1:15" ht="27.6">
      <c r="A27" s="3" t="s">
        <v>221</v>
      </c>
      <c r="B27" s="3" t="s">
        <v>222</v>
      </c>
      <c r="C27" s="3" t="s">
        <v>223</v>
      </c>
      <c r="D27" s="3" t="s">
        <v>224</v>
      </c>
      <c r="E27" s="3" t="s">
        <v>225</v>
      </c>
      <c r="F27" s="3" t="s">
        <v>226</v>
      </c>
      <c r="G27" s="3" t="s">
        <v>227</v>
      </c>
      <c r="H27" s="3" t="s">
        <v>228</v>
      </c>
      <c r="I27" s="3" t="s">
        <v>229</v>
      </c>
      <c r="J27" s="3" t="s">
        <v>173</v>
      </c>
      <c r="K27" s="3" t="s">
        <v>25</v>
      </c>
      <c r="L27" s="3" t="s">
        <v>337</v>
      </c>
      <c r="M27" s="3" t="s">
        <v>377</v>
      </c>
      <c r="N27" s="3"/>
      <c r="O27" s="7" t="s">
        <v>391</v>
      </c>
    </row>
    <row r="28" spans="1:15" ht="55.2">
      <c r="A28" s="3" t="s">
        <v>230</v>
      </c>
      <c r="B28" s="3" t="s">
        <v>231</v>
      </c>
      <c r="C28" s="3" t="s">
        <v>232</v>
      </c>
      <c r="D28" s="3" t="s">
        <v>224</v>
      </c>
      <c r="E28" s="3" t="s">
        <v>233</v>
      </c>
      <c r="F28" s="3" t="s">
        <v>234</v>
      </c>
      <c r="G28" s="3" t="s">
        <v>235</v>
      </c>
      <c r="H28" s="3" t="s">
        <v>236</v>
      </c>
      <c r="I28" s="3" t="s">
        <v>237</v>
      </c>
      <c r="J28" s="3" t="s">
        <v>173</v>
      </c>
      <c r="K28" s="3" t="s">
        <v>66</v>
      </c>
      <c r="L28" s="3" t="s">
        <v>375</v>
      </c>
      <c r="M28" s="3" t="s">
        <v>378</v>
      </c>
      <c r="N28" s="3"/>
      <c r="O28" s="7" t="s">
        <v>391</v>
      </c>
    </row>
    <row r="29" spans="1:15" ht="41.4">
      <c r="A29" s="3" t="s">
        <v>238</v>
      </c>
      <c r="B29" s="3" t="s">
        <v>239</v>
      </c>
      <c r="C29" s="3" t="s">
        <v>240</v>
      </c>
      <c r="D29" s="3" t="s">
        <v>224</v>
      </c>
      <c r="E29" s="3" t="s">
        <v>241</v>
      </c>
      <c r="F29" s="3" t="s">
        <v>242</v>
      </c>
      <c r="G29" s="3" t="s">
        <v>243</v>
      </c>
      <c r="H29" s="3" t="s">
        <v>244</v>
      </c>
      <c r="I29" s="3" t="s">
        <v>245</v>
      </c>
      <c r="J29" s="3" t="s">
        <v>24</v>
      </c>
      <c r="K29" s="3" t="s">
        <v>66</v>
      </c>
      <c r="L29" s="3" t="s">
        <v>337</v>
      </c>
      <c r="M29" s="3" t="s">
        <v>379</v>
      </c>
      <c r="N29" s="3"/>
      <c r="O29" s="7" t="s">
        <v>391</v>
      </c>
    </row>
    <row r="30" spans="1:15" ht="41.4">
      <c r="A30" s="3" t="s">
        <v>246</v>
      </c>
      <c r="B30" s="3" t="s">
        <v>239</v>
      </c>
      <c r="C30" s="3" t="s">
        <v>247</v>
      </c>
      <c r="D30" s="3" t="s">
        <v>224</v>
      </c>
      <c r="E30" s="3" t="s">
        <v>248</v>
      </c>
      <c r="F30" s="3" t="s">
        <v>242</v>
      </c>
      <c r="G30" s="3" t="s">
        <v>249</v>
      </c>
      <c r="H30" s="3" t="s">
        <v>250</v>
      </c>
      <c r="I30" s="3" t="s">
        <v>251</v>
      </c>
      <c r="J30" s="3" t="s">
        <v>24</v>
      </c>
      <c r="K30" s="3" t="s">
        <v>66</v>
      </c>
      <c r="L30" s="3" t="s">
        <v>337</v>
      </c>
      <c r="M30" s="3" t="s">
        <v>380</v>
      </c>
      <c r="N30" s="3"/>
      <c r="O30" s="7" t="s">
        <v>391</v>
      </c>
    </row>
    <row r="31" spans="1:15" ht="41.4">
      <c r="A31" s="3" t="s">
        <v>252</v>
      </c>
      <c r="B31" s="3" t="s">
        <v>239</v>
      </c>
      <c r="C31" s="3" t="s">
        <v>253</v>
      </c>
      <c r="D31" s="3" t="s">
        <v>224</v>
      </c>
      <c r="E31" s="3" t="s">
        <v>254</v>
      </c>
      <c r="F31" s="3" t="s">
        <v>242</v>
      </c>
      <c r="G31" s="3" t="s">
        <v>255</v>
      </c>
      <c r="H31" s="3" t="s">
        <v>256</v>
      </c>
      <c r="I31" s="3" t="s">
        <v>257</v>
      </c>
      <c r="J31" s="3" t="s">
        <v>24</v>
      </c>
      <c r="K31" s="3" t="s">
        <v>66</v>
      </c>
      <c r="L31" s="3" t="s">
        <v>337</v>
      </c>
      <c r="M31" s="3" t="s">
        <v>381</v>
      </c>
      <c r="N31" s="3"/>
      <c r="O31" s="7" t="s">
        <v>391</v>
      </c>
    </row>
    <row r="32" spans="1:15" ht="55.2">
      <c r="A32" s="3" t="s">
        <v>258</v>
      </c>
      <c r="B32" s="3" t="s">
        <v>259</v>
      </c>
      <c r="C32" s="3" t="s">
        <v>260</v>
      </c>
      <c r="D32" s="3" t="s">
        <v>224</v>
      </c>
      <c r="E32" s="3" t="s">
        <v>261</v>
      </c>
      <c r="F32" s="3" t="s">
        <v>262</v>
      </c>
      <c r="G32" s="3" t="s">
        <v>263</v>
      </c>
      <c r="H32" s="3" t="s">
        <v>264</v>
      </c>
      <c r="I32" s="3" t="s">
        <v>265</v>
      </c>
      <c r="J32" s="3" t="s">
        <v>24</v>
      </c>
      <c r="K32" s="3" t="s">
        <v>25</v>
      </c>
      <c r="L32" s="3" t="s">
        <v>337</v>
      </c>
      <c r="M32" s="3" t="s">
        <v>382</v>
      </c>
      <c r="N32" s="7"/>
      <c r="O32" s="7" t="s">
        <v>391</v>
      </c>
    </row>
    <row r="33" spans="1:15" ht="69">
      <c r="A33" s="3" t="s">
        <v>266</v>
      </c>
      <c r="B33" s="3" t="s">
        <v>267</v>
      </c>
      <c r="C33" s="3" t="s">
        <v>268</v>
      </c>
      <c r="D33" s="3" t="s">
        <v>269</v>
      </c>
      <c r="E33" s="3" t="s">
        <v>270</v>
      </c>
      <c r="F33" s="3" t="s">
        <v>271</v>
      </c>
      <c r="G33" s="3" t="s">
        <v>272</v>
      </c>
      <c r="H33" s="3" t="s">
        <v>273</v>
      </c>
      <c r="I33" s="3" t="s">
        <v>274</v>
      </c>
      <c r="J33" s="3" t="s">
        <v>24</v>
      </c>
      <c r="K33" s="3" t="s">
        <v>25</v>
      </c>
      <c r="L33" s="3" t="s">
        <v>338</v>
      </c>
      <c r="M33" s="1" t="s">
        <v>383</v>
      </c>
      <c r="N33" s="8" t="s">
        <v>275</v>
      </c>
      <c r="O33" s="7" t="s">
        <v>391</v>
      </c>
    </row>
    <row r="34" spans="1:15" ht="41.4">
      <c r="A34" s="3" t="s">
        <v>276</v>
      </c>
      <c r="B34" s="3" t="s">
        <v>277</v>
      </c>
      <c r="C34" s="3" t="s">
        <v>278</v>
      </c>
      <c r="D34" s="3" t="s">
        <v>269</v>
      </c>
      <c r="E34" s="3" t="s">
        <v>279</v>
      </c>
      <c r="F34" s="3" t="s">
        <v>280</v>
      </c>
      <c r="G34" s="3" t="s">
        <v>281</v>
      </c>
      <c r="H34" s="3" t="s">
        <v>282</v>
      </c>
      <c r="I34" s="3" t="s">
        <v>283</v>
      </c>
      <c r="J34" s="3" t="s">
        <v>24</v>
      </c>
      <c r="K34" s="3" t="s">
        <v>66</v>
      </c>
      <c r="L34" s="3" t="s">
        <v>372</v>
      </c>
      <c r="M34" s="3" t="s">
        <v>384</v>
      </c>
      <c r="N34" s="3"/>
      <c r="O34" s="7" t="s">
        <v>391</v>
      </c>
    </row>
    <row r="35" spans="1:15" ht="41.4">
      <c r="A35" s="3" t="s">
        <v>284</v>
      </c>
      <c r="B35" s="3" t="s">
        <v>267</v>
      </c>
      <c r="C35" s="3" t="s">
        <v>285</v>
      </c>
      <c r="D35" s="3" t="s">
        <v>269</v>
      </c>
      <c r="E35" s="3" t="s">
        <v>286</v>
      </c>
      <c r="F35" s="3" t="s">
        <v>287</v>
      </c>
      <c r="G35" s="3" t="s">
        <v>288</v>
      </c>
      <c r="H35" s="3" t="s">
        <v>289</v>
      </c>
      <c r="I35" s="3" t="s">
        <v>290</v>
      </c>
      <c r="J35" s="3" t="s">
        <v>80</v>
      </c>
      <c r="K35" s="3" t="s">
        <v>34</v>
      </c>
      <c r="L35" s="3" t="s">
        <v>337</v>
      </c>
      <c r="M35" s="3" t="s">
        <v>385</v>
      </c>
      <c r="N35" s="3"/>
      <c r="O35" s="7" t="s">
        <v>391</v>
      </c>
    </row>
    <row r="36" spans="1:15" ht="41.4">
      <c r="A36" s="3" t="s">
        <v>291</v>
      </c>
      <c r="B36" s="3" t="s">
        <v>292</v>
      </c>
      <c r="C36" s="3" t="s">
        <v>293</v>
      </c>
      <c r="D36" s="3" t="s">
        <v>294</v>
      </c>
      <c r="E36" s="3" t="s">
        <v>295</v>
      </c>
      <c r="F36" s="3" t="s">
        <v>296</v>
      </c>
      <c r="G36" s="3" t="s">
        <v>297</v>
      </c>
      <c r="H36" s="3" t="s">
        <v>298</v>
      </c>
      <c r="I36" s="3" t="s">
        <v>299</v>
      </c>
      <c r="J36" s="3" t="s">
        <v>24</v>
      </c>
      <c r="K36" s="3" t="s">
        <v>25</v>
      </c>
      <c r="L36" s="3" t="s">
        <v>372</v>
      </c>
      <c r="M36" s="3" t="s">
        <v>386</v>
      </c>
      <c r="N36" s="3"/>
      <c r="O36" s="7" t="s">
        <v>391</v>
      </c>
    </row>
    <row r="37" spans="1:15" ht="55.2">
      <c r="A37" s="3" t="s">
        <v>300</v>
      </c>
      <c r="B37" s="3" t="s">
        <v>292</v>
      </c>
      <c r="C37" s="3" t="s">
        <v>301</v>
      </c>
      <c r="D37" s="3" t="s">
        <v>294</v>
      </c>
      <c r="E37" s="3" t="s">
        <v>302</v>
      </c>
      <c r="F37" s="3" t="s">
        <v>303</v>
      </c>
      <c r="G37" s="3" t="s">
        <v>304</v>
      </c>
      <c r="H37" s="3" t="s">
        <v>305</v>
      </c>
      <c r="I37" s="3" t="s">
        <v>306</v>
      </c>
      <c r="J37" s="3" t="s">
        <v>24</v>
      </c>
      <c r="K37" s="3" t="s">
        <v>66</v>
      </c>
      <c r="L37" s="3" t="s">
        <v>337</v>
      </c>
      <c r="M37" s="3" t="s">
        <v>387</v>
      </c>
      <c r="N37" s="3"/>
      <c r="O37" s="7" t="s">
        <v>391</v>
      </c>
    </row>
    <row r="38" spans="1:15" ht="69">
      <c r="A38" s="3" t="s">
        <v>307</v>
      </c>
      <c r="B38" s="3" t="s">
        <v>231</v>
      </c>
      <c r="C38" s="3" t="s">
        <v>308</v>
      </c>
      <c r="D38" s="3" t="s">
        <v>309</v>
      </c>
      <c r="E38" s="3" t="s">
        <v>310</v>
      </c>
      <c r="F38" s="3" t="s">
        <v>311</v>
      </c>
      <c r="G38" s="3" t="s">
        <v>312</v>
      </c>
      <c r="H38" s="3" t="s">
        <v>313</v>
      </c>
      <c r="I38" s="3" t="s">
        <v>314</v>
      </c>
      <c r="J38" s="3" t="s">
        <v>173</v>
      </c>
      <c r="K38" s="3" t="s">
        <v>309</v>
      </c>
      <c r="L38" s="3" t="s">
        <v>337</v>
      </c>
      <c r="M38" s="3" t="s">
        <v>388</v>
      </c>
      <c r="N38" s="3"/>
      <c r="O38" s="7" t="s">
        <v>391</v>
      </c>
    </row>
    <row r="39" spans="1:15" ht="55.2">
      <c r="A39" s="3" t="s">
        <v>315</v>
      </c>
      <c r="B39" s="3" t="s">
        <v>198</v>
      </c>
      <c r="C39" s="3" t="s">
        <v>316</v>
      </c>
      <c r="D39" s="3" t="s">
        <v>309</v>
      </c>
      <c r="E39" s="3" t="s">
        <v>317</v>
      </c>
      <c r="F39" s="3" t="s">
        <v>318</v>
      </c>
      <c r="G39" s="3" t="s">
        <v>319</v>
      </c>
      <c r="H39" s="3" t="s">
        <v>320</v>
      </c>
      <c r="I39" s="3" t="s">
        <v>321</v>
      </c>
      <c r="J39" s="3" t="s">
        <v>173</v>
      </c>
      <c r="K39" s="3" t="s">
        <v>190</v>
      </c>
      <c r="L39" s="3" t="s">
        <v>372</v>
      </c>
      <c r="M39" s="3" t="s">
        <v>389</v>
      </c>
      <c r="N39" s="3"/>
      <c r="O39" s="7" t="s">
        <v>391</v>
      </c>
    </row>
    <row r="40" spans="1:15" ht="55.2">
      <c r="A40" s="3" t="s">
        <v>322</v>
      </c>
      <c r="B40" s="3" t="s">
        <v>107</v>
      </c>
      <c r="C40" s="3" t="s">
        <v>323</v>
      </c>
      <c r="D40" s="3" t="s">
        <v>309</v>
      </c>
      <c r="E40" s="3" t="s">
        <v>324</v>
      </c>
      <c r="F40" s="3" t="s">
        <v>325</v>
      </c>
      <c r="G40" s="3" t="s">
        <v>326</v>
      </c>
      <c r="H40" s="3" t="s">
        <v>327</v>
      </c>
      <c r="I40" s="3" t="s">
        <v>328</v>
      </c>
      <c r="J40" s="3" t="s">
        <v>24</v>
      </c>
      <c r="K40" s="3" t="s">
        <v>114</v>
      </c>
      <c r="L40" s="3" t="s">
        <v>337</v>
      </c>
      <c r="M40" s="3" t="s">
        <v>390</v>
      </c>
      <c r="N40" s="3"/>
      <c r="O40" s="7" t="s">
        <v>391</v>
      </c>
    </row>
    <row r="41" spans="1:15">
      <c r="O41" s="7"/>
    </row>
  </sheetData>
  <conditionalFormatting sqref="L2:L41">
    <cfRule type="expression" dxfId="7" priority="1">
      <formula>L2="Passed"</formula>
    </cfRule>
    <cfRule type="expression" dxfId="6" priority="2">
      <formula>L2="Failed"</formula>
    </cfRule>
    <cfRule type="expression" dxfId="5" priority="3">
      <formula>L2="Blocked"</formula>
    </cfRule>
  </conditionalFormatting>
  <conditionalFormatting sqref="J2:J41">
    <cfRule type="expression" dxfId="4" priority="4">
      <formula>J2="Critical"</formula>
    </cfRule>
  </conditionalFormatting>
  <dataValidations count="3">
    <dataValidation type="list" sqref="J2:J41">
      <formula1>"Critical,High,Medium,Low"</formula1>
    </dataValidation>
    <dataValidation type="list" sqref="L2:L41">
      <formula1>"Not Executed,Passed,Failed,Blocked,Not Applicable"</formula1>
    </dataValidation>
    <dataValidation type="list" sqref="K2:K41">
      <formula1>"Positive,Negative,Boundary,Functional,Business Rule,Regression,Risk-Based,Integration,End-to-End"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3.8"/>
  <cols>
    <col min="1" max="1" width="24" customWidth="1"/>
    <col min="2" max="2" width="14" customWidth="1"/>
    <col min="4" max="4" width="22" customWidth="1"/>
    <col min="5" max="6" width="14" customWidth="1"/>
  </cols>
  <sheetData>
    <row r="1" spans="1:6" ht="17.399999999999999">
      <c r="A1" s="9" t="s">
        <v>329</v>
      </c>
      <c r="B1" s="9"/>
      <c r="C1" s="9"/>
      <c r="D1" s="9"/>
      <c r="E1" s="9"/>
      <c r="F1" s="9"/>
    </row>
    <row r="3" spans="1:6">
      <c r="A3" s="4" t="s">
        <v>330</v>
      </c>
      <c r="B3" s="4" t="s">
        <v>331</v>
      </c>
      <c r="D3" s="4" t="s">
        <v>3</v>
      </c>
      <c r="E3" s="4" t="s">
        <v>332</v>
      </c>
      <c r="F3" s="4" t="s">
        <v>333</v>
      </c>
    </row>
    <row r="4" spans="1:6">
      <c r="A4" s="1" t="s">
        <v>334</v>
      </c>
      <c r="B4" s="1">
        <f>COUNTA('Test Cases'!A2:A41)</f>
        <v>39</v>
      </c>
      <c r="D4" s="1" t="s">
        <v>18</v>
      </c>
      <c r="E4" s="1">
        <f>COUNTIF('Test Cases'!D2:D41,D4)</f>
        <v>8</v>
      </c>
      <c r="F4" s="5">
        <f t="shared" ref="F4:F11" si="0">E4/$B$4</f>
        <v>0.20512820512820512</v>
      </c>
    </row>
    <row r="5" spans="1:6">
      <c r="A5" s="1" t="s">
        <v>335</v>
      </c>
      <c r="B5" s="1">
        <f>COUNTIF('Test Cases'!J2:J41,"Critical")</f>
        <v>11</v>
      </c>
      <c r="D5" s="1" t="s">
        <v>84</v>
      </c>
      <c r="E5" s="1">
        <f>COUNTIF('Test Cases'!D2:D41,D5)</f>
        <v>5</v>
      </c>
      <c r="F5" s="5">
        <f t="shared" si="0"/>
        <v>0.12820512820512819</v>
      </c>
    </row>
    <row r="6" spans="1:6">
      <c r="A6" s="1" t="s">
        <v>336</v>
      </c>
      <c r="B6" s="1">
        <f>COUNTIF('Test Cases'!J2:J41,"High")</f>
        <v>24</v>
      </c>
      <c r="D6" s="1" t="s">
        <v>125</v>
      </c>
      <c r="E6" s="1">
        <f>COUNTIF('Test Cases'!D2:D41,D6)</f>
        <v>5</v>
      </c>
      <c r="F6" s="5">
        <f t="shared" si="0"/>
        <v>0.12820512820512819</v>
      </c>
    </row>
    <row r="7" spans="1:6">
      <c r="A7" s="1" t="s">
        <v>337</v>
      </c>
      <c r="B7" s="1">
        <f>COUNTIF('Test Cases'!L2:L41,"Passed")</f>
        <v>29</v>
      </c>
      <c r="D7" s="1" t="s">
        <v>167</v>
      </c>
      <c r="E7" s="1">
        <f>COUNTIF('Test Cases'!D2:D41,D7)</f>
        <v>7</v>
      </c>
      <c r="F7" s="5">
        <f t="shared" si="0"/>
        <v>0.17948717948717949</v>
      </c>
    </row>
    <row r="8" spans="1:6">
      <c r="A8" s="1" t="s">
        <v>338</v>
      </c>
      <c r="B8" s="1">
        <f>COUNTIF('Test Cases'!L2:L41,"Failed")</f>
        <v>4</v>
      </c>
      <c r="D8" s="1" t="s">
        <v>224</v>
      </c>
      <c r="E8" s="1">
        <f>COUNTIF('Test Cases'!D2:D41,D8)</f>
        <v>6</v>
      </c>
      <c r="F8" s="5">
        <f t="shared" si="0"/>
        <v>0.15384615384615385</v>
      </c>
    </row>
    <row r="9" spans="1:6">
      <c r="D9" s="1" t="s">
        <v>269</v>
      </c>
      <c r="E9" s="1">
        <f>COUNTIF('Test Cases'!D2:D41,D9)</f>
        <v>3</v>
      </c>
      <c r="F9" s="5">
        <f t="shared" si="0"/>
        <v>7.6923076923076927E-2</v>
      </c>
    </row>
    <row r="10" spans="1:6">
      <c r="D10" s="1" t="s">
        <v>294</v>
      </c>
      <c r="E10" s="1">
        <f>COUNTIF('Test Cases'!D2:D41,D10)</f>
        <v>2</v>
      </c>
      <c r="F10" s="5">
        <f t="shared" si="0"/>
        <v>5.128205128205128E-2</v>
      </c>
    </row>
    <row r="11" spans="1:6">
      <c r="D11" s="1" t="s">
        <v>309</v>
      </c>
      <c r="E11" s="1">
        <f>COUNTIF('Test Cases'!D2:D41,D11)</f>
        <v>3</v>
      </c>
      <c r="F11" s="5">
        <f t="shared" si="0"/>
        <v>7.6923076923076927E-2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3.8"/>
  <cols>
    <col min="1" max="1" width="22" customWidth="1"/>
    <col min="2" max="2" width="60" customWidth="1"/>
  </cols>
  <sheetData>
    <row r="1" spans="1:2">
      <c r="A1" s="6" t="s">
        <v>339</v>
      </c>
      <c r="B1" s="6" t="s">
        <v>340</v>
      </c>
    </row>
    <row r="2" spans="1:2">
      <c r="A2" s="1" t="s">
        <v>9</v>
      </c>
      <c r="B2" s="1" t="s">
        <v>341</v>
      </c>
    </row>
    <row r="3" spans="1:2">
      <c r="A3" s="1" t="s">
        <v>11</v>
      </c>
      <c r="B3" s="1" t="s">
        <v>342</v>
      </c>
    </row>
    <row r="4" spans="1:2" ht="27.6">
      <c r="A4" s="1" t="s">
        <v>10</v>
      </c>
      <c r="B4" s="1" t="s">
        <v>343</v>
      </c>
    </row>
    <row r="5" spans="1:2">
      <c r="A5" s="1" t="s">
        <v>344</v>
      </c>
      <c r="B5" s="1" t="s">
        <v>345</v>
      </c>
    </row>
    <row r="6" spans="1:2">
      <c r="A6" s="1" t="s">
        <v>346</v>
      </c>
      <c r="B6" s="1" t="s">
        <v>347</v>
      </c>
    </row>
    <row r="7" spans="1:2" ht="27.6">
      <c r="A7" s="1" t="s">
        <v>348</v>
      </c>
      <c r="B7" s="1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Coverage Summary</vt:lpstr>
      <vt:lpstr>Lists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2026-09-11T09:27:06Z</dcterms:modified>
</cp:coreProperties>
</file>