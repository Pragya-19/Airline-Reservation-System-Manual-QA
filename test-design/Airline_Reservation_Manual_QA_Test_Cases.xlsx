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f214ca063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292f1f12c5c4f2a"/>
    <x:sheet xmlns:r="http://schemas.openxmlformats.org/officeDocument/2006/relationships" name="Coverage Summary" sheetId="2" r:id="R7506393d0d1242f7"/>
    <x:sheet xmlns:r="http://schemas.openxmlformats.org/officeDocument/2006/relationships" name="Lists" sheetId="3" r:id="Rd1c7db31d3fe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63A63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01678bca14acc" /><Relationship Type="http://schemas.openxmlformats.org/officeDocument/2006/relationships/theme" Target="/xl/theme/theme1.xml" Id="R44f823b777b74b70" /><Relationship Type="http://schemas.openxmlformats.org/officeDocument/2006/relationships/sharedStrings" Target="/xl/sharedStrings.xml" Id="Rd3f091f4f5644ca4" /><Relationship Type="http://schemas.openxmlformats.org/officeDocument/2006/relationships/worksheet" Target="/xl/worksheets/sheet1.xml" Id="R9292f1f12c5c4f2a" /><Relationship Type="http://schemas.openxmlformats.org/officeDocument/2006/relationships/worksheet" Target="/xl/worksheets/sheet2.xml" Id="R7506393d0d1242f7" /><Relationship Type="http://schemas.openxmlformats.org/officeDocument/2006/relationships/worksheet" Target="/xl/worksheets/sheet3.xml" Id="Rd1c7db31d3fe49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3e3c00b22346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Cases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'Coverage Summary'!$D$4:$D$11</c:f>
              <c:strCache>
                <c:ptCount val="0"/>
              </c:strCache>
            </c:strRef>
          </c:cat>
          <c:val>
            <c:numRef>
              <c:f>'Coverage Summary'!$E$4:$E$11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e3c00b22346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rlineTestCases" displayName="AirlineTestCases" ref="A1:O40" headerRowCount="1" totalsRowCount="0" totalsRowShown="0">
  <x:tableColumns count="15">
    <x:tableColumn id="1" name="Test Case ID"/>
    <x:tableColumn id="2" name="Requirement ID"/>
    <x:tableColumn id="3" name="Scenario ID"/>
    <x:tableColumn id="4" name="Module"/>
    <x:tableColumn id="5" name="Title"/>
    <x:tableColumn id="6" name="Preconditions"/>
    <x:tableColumn id="7" name="Test Data"/>
    <x:tableColumn id="8" name="Steps"/>
    <x:tableColumn id="9" name="Expected Result"/>
    <x:tableColumn id="10" name="Priority"/>
    <x:tableColumn id="11" name="Test Type"/>
    <x:tableColumn id="12" name="Execution Status"/>
    <x:tableColumn id="13" name="Actual Result"/>
    <x:tableColumn id="14" name="Defect ID"/>
    <x:tableColumn id="15" name="Evidence / Screensh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228daba0a549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276413695b422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0" hidden="0" customWidth="1"/>
    <x:col min="6" max="6" width="32" hidden="0" customWidth="1"/>
    <x:col min="7" max="7" width="32" hidden="0" customWidth="1"/>
    <x:col min="8" max="8" width="45" hidden="0" customWidth="1"/>
    <x:col min="9" max="9" width="45" hidden="0" customWidth="1"/>
    <x:col min="10" max="10" width="12" hidden="0" customWidth="1"/>
    <x:col min="11" max="11" width="16" hidden="0" customWidth="1"/>
    <x:col min="12" max="12" width="16" hidden="0" customWidth="1"/>
    <x:col min="13" max="13" width="30" hidden="0" customWidth="1"/>
    <x:col min="14" max="14" width="14" hidden="0" customWidth="1"/>
    <x:col min="15" max="15" width="24" hidden="0" customWidth="1"/>
  </x:cols>
  <x:sheetData>
    <x:row r="1">
      <x:c r="A1" s="14" t="str">
        <x:v>Test Case ID</x:v>
      </x:c>
      <x:c r="B1" s="14" t="str">
        <x:v>Requirement ID</x:v>
      </x:c>
      <x:c r="C1" s="14" t="str">
        <x:v>Scenario ID</x:v>
      </x:c>
      <x:c r="D1" s="14" t="str">
        <x:v>Module</x:v>
      </x:c>
      <x:c r="E1" s="14" t="str">
        <x:v>Title</x:v>
      </x:c>
      <x:c r="F1" s="14" t="str">
        <x:v>Preconditions</x:v>
      </x:c>
      <x:c r="G1" s="14" t="str">
        <x:v>Test Data</x:v>
      </x:c>
      <x:c r="H1" s="14" t="str">
        <x:v>Steps</x:v>
      </x:c>
      <x:c r="I1" s="14" t="str">
        <x:v>Expected Result</x:v>
      </x:c>
      <x:c r="J1" s="14" t="str">
        <x:v>Priority</x:v>
      </x:c>
      <x:c r="K1" s="14" t="str">
        <x:v>Test Type</x:v>
      </x:c>
      <x:c r="L1" s="14" t="str">
        <x:v>Execution Status</x:v>
      </x:c>
      <x:c r="M1" s="14" t="str">
        <x:v>Actual Result</x:v>
      </x:c>
      <x:c r="N1" s="14" t="str">
        <x:v>Defect ID</x:v>
      </x:c>
      <x:c r="O1" s="14" t="str">
        <x:v>Evidence / Screenshot</x:v>
      </x:c>
    </x:row>
    <x:row r="2">
      <x:c r="A2" s="15" t="str">
        <x:v>TC_FS_001</x:v>
      </x:c>
      <x:c r="B2" s="15" t="str">
        <x:v>REQ-FS-001</x:v>
      </x:c>
      <x:c r="C2" s="15" t="str">
        <x:v>TS_FS_001</x:v>
      </x:c>
      <x:c r="D2" s="15" t="str">
        <x:v>Flight Search</x:v>
      </x:c>
      <x:c r="E2" s="15" t="str">
        <x:v>Verify successful flight search using valid mandatory search criteria</x:v>
      </x:c>
      <x:c r="F2" s="15" t="str">
        <x:v>User has access to the flight search page.</x:v>
      </x:c>
      <x:c r="G2" s="15" t="str">
        <x:v>Valid origin; valid destination; supported future date; 1 Adult</x:v>
      </x:c>
      <x:c r="H2" s="15" t="str">
        <x:v>1. Open flight search page
2. Enter valid origin
3. Enter valid destination
4. Select a supported future date
5. Select 1 Adult
6. Click Search</x:v>
      </x:c>
      <x:c r="I2" s="15" t="str">
        <x:v>Available flights matching the selected search criteria should be displayed.</x:v>
      </x:c>
      <x:c r="J2" s="15" t="str">
        <x:v>High</x:v>
      </x:c>
      <x:c r="K2" s="15" t="str">
        <x:v>Positive</x:v>
      </x:c>
      <x:c r="L2" s="15" t="str">
        <x:v>Not Executed</x:v>
      </x:c>
      <x:c r="M2" s="15" t="str"/>
      <x:c r="N2" s="15" t="str"/>
      <x:c r="O2" s="15" t="str"/>
    </x:row>
    <x:row r="3">
      <x:c r="A3" s="15" t="str">
        <x:v>TC_FS_002</x:v>
      </x:c>
      <x:c r="B3" s="15" t="str">
        <x:v>REQ-FS-002</x:v>
      </x:c>
      <x:c r="C3" s="15" t="str">
        <x:v>TS_FS_002</x:v>
      </x:c>
      <x:c r="D3" s="15" t="str">
        <x:v>Flight Search</x:v>
      </x:c>
      <x:c r="E3" s="15" t="str">
        <x:v>Verify flight search is prevented when origin and destination are the same</x:v>
      </x:c>
      <x:c r="F3" s="15" t="str">
        <x:v>User is on the flight search page.</x:v>
      </x:c>
      <x:c r="G3" s="15" t="str">
        <x:v>Origin = same as Destination</x:v>
      </x:c>
      <x:c r="H3" s="15" t="str">
        <x:v>1. Select an origin
2. Select the same location as destination
3. Attempt to search</x:v>
      </x:c>
      <x:c r="I3" s="15" t="str">
        <x:v>The system should prevent the search and show appropriate validation or block the invalid combination.</x:v>
      </x:c>
      <x:c r="J3" s="15" t="str">
        <x:v>High</x:v>
      </x:c>
      <x:c r="K3" s="15" t="str">
        <x:v>Negative</x:v>
      </x:c>
      <x:c r="L3" s="15" t="str">
        <x:v>Not Executed</x:v>
      </x:c>
      <x:c r="M3" s="15" t="str"/>
      <x:c r="N3" s="15" t="str"/>
      <x:c r="O3" s="15" t="str"/>
    </x:row>
    <x:row r="4">
      <x:c r="A4" s="15" t="str">
        <x:v>TC_FS_003</x:v>
      </x:c>
      <x:c r="B4" s="15" t="str">
        <x:v>REQ-FS-003</x:v>
      </x:c>
      <x:c r="C4" s="15" t="str">
        <x:v>TS_FS_003</x:v>
      </x:c>
      <x:c r="D4" s="15" t="str">
        <x:v>Flight Search</x:v>
      </x:c>
      <x:c r="E4" s="15" t="str">
        <x:v>Verify past departure date is prevented or appropriately handled</x:v>
      </x:c>
      <x:c r="F4" s="15" t="str">
        <x:v>User is on the flight search page.</x:v>
      </x:c>
      <x:c r="G4" s="15" t="str">
        <x:v>Departure date = past date</x:v>
      </x:c>
      <x:c r="H4" s="15" t="str">
        <x:v>1. Enter valid origin and destination
2. Attempt to select/enter a past departure date
3. Attempt to search</x:v>
      </x:c>
      <x:c r="I4" s="15" t="str">
        <x:v>Past travel date should not be accepted; the system should prevent submission or show appropriate validation.</x:v>
      </x:c>
      <x:c r="J4" s="15" t="str">
        <x:v>High</x:v>
      </x:c>
      <x:c r="K4" s="15" t="str">
        <x:v>Negative</x:v>
      </x:c>
      <x:c r="L4" s="15" t="str">
        <x:v>Not Executed</x:v>
      </x:c>
      <x:c r="M4" s="15" t="str"/>
      <x:c r="N4" s="15" t="str"/>
      <x:c r="O4" s="15" t="str"/>
    </x:row>
    <x:row r="5">
      <x:c r="A5" s="15" t="str">
        <x:v>TC_FS_004</x:v>
      </x:c>
      <x:c r="B5" s="15" t="str">
        <x:v>REQ-FS-004</x:v>
      </x:c>
      <x:c r="C5" s="15" t="str">
        <x:v>TS_FS_004</x:v>
      </x:c>
      <x:c r="D5" s="15" t="str">
        <x:v>Flight Search</x:v>
      </x:c>
      <x:c r="E5" s="15" t="str">
        <x:v>Verify infant cannot be selected without an accompanying adult</x:v>
      </x:c>
      <x:c r="F5" s="15" t="str">
        <x:v>Passenger selector is available.</x:v>
      </x:c>
      <x:c r="G5" s="15" t="str">
        <x:v>Adult = 0; Infant = 1</x:v>
      </x:c>
      <x:c r="H5" s="15" t="str">
        <x:v>1. Open passenger selector
2. Set adult count to 0 if permitted
3. Attempt to select 1 infant
4. Continue/search</x:v>
      </x:c>
      <x:c r="I5" s="15" t="str">
        <x:v>The system should prevent an infant-only passenger combination or display appropriate validation.</x:v>
      </x:c>
      <x:c r="J5" s="15" t="str">
        <x:v>High</x:v>
      </x:c>
      <x:c r="K5" s="15" t="str">
        <x:v>Business Rule</x:v>
      </x:c>
      <x:c r="L5" s="15" t="str">
        <x:v>Not Executed</x:v>
      </x:c>
      <x:c r="M5" s="15" t="str"/>
      <x:c r="N5" s="15" t="str"/>
      <x:c r="O5" s="15" t="str"/>
    </x:row>
    <x:row r="6">
      <x:c r="A6" s="15" t="str">
        <x:v>TC_FS_005</x:v>
      </x:c>
      <x:c r="B6" s="15" t="str">
        <x:v>REQ-FS-002</x:v>
      </x:c>
      <x:c r="C6" s="15" t="str">
        <x:v>TS_FS_005</x:v>
      </x:c>
      <x:c r="D6" s="15" t="str">
        <x:v>Flight Search</x:v>
      </x:c>
      <x:c r="E6" s="15" t="str">
        <x:v>Verify search is prevented when destination is blank</x:v>
      </x:c>
      <x:c r="F6" s="15" t="str">
        <x:v>User is on the flight search page.</x:v>
      </x:c>
      <x:c r="G6" s="15" t="str">
        <x:v>Valid origin; destination blank; supported future date</x:v>
      </x:c>
      <x:c r="H6" s="15" t="str">
        <x:v>1. Enter a valid origin
2. Leave destination blank
3. Complete remaining mandatory fields
4. Click Search</x:v>
      </x:c>
      <x:c r="I6" s="15" t="str">
        <x:v>The system should prevent search and indicate that destination is required.</x:v>
      </x:c>
      <x:c r="J6" s="15" t="str">
        <x:v>High</x:v>
      </x:c>
      <x:c r="K6" s="15" t="str">
        <x:v>Negative</x:v>
      </x:c>
      <x:c r="L6" s="15" t="str">
        <x:v>Not Executed</x:v>
      </x:c>
      <x:c r="M6" s="15" t="str"/>
      <x:c r="N6" s="15" t="str"/>
      <x:c r="O6" s="15" t="str"/>
    </x:row>
    <x:row r="7">
      <x:c r="A7" s="15" t="str">
        <x:v>TC_FS_006</x:v>
      </x:c>
      <x:c r="B7" s="15" t="str">
        <x:v>REQ-FS-005</x:v>
      </x:c>
      <x:c r="C7" s="15" t="str">
        <x:v>TS_FS_006</x:v>
      </x:c>
      <x:c r="D7" s="15" t="str">
        <x:v>Flight Search</x:v>
      </x:c>
      <x:c r="E7" s="15" t="str">
        <x:v>Verify search results match the selected origin and destination</x:v>
      </x:c>
      <x:c r="F7" s="15" t="str">
        <x:v>A valid flight search can be submitted.</x:v>
      </x:c>
      <x:c r="G7" s="15" t="str">
        <x:v>Valid route supported by SUT</x:v>
      </x:c>
      <x:c r="H7" s="15" t="str">
        <x:v>1. Search using valid origin and destination
2. Review returned flight cards/results</x:v>
      </x:c>
      <x:c r="I7" s="15" t="str">
        <x:v>Every displayed result should correspond to the selected route or clearly documented connecting itinerary.</x:v>
      </x:c>
      <x:c r="J7" s="15" t="str">
        <x:v>High</x:v>
      </x:c>
      <x:c r="K7" s="15" t="str">
        <x:v>Functional</x:v>
      </x:c>
      <x:c r="L7" s="15" t="str">
        <x:v>Not Executed</x:v>
      </x:c>
      <x:c r="M7" s="15" t="str"/>
      <x:c r="N7" s="15" t="str"/>
      <x:c r="O7" s="15" t="str"/>
    </x:row>
    <x:row r="8">
      <x:c r="A8" s="15" t="str">
        <x:v>TC_FS_007</x:v>
      </x:c>
      <x:c r="B8" s="15" t="str">
        <x:v>REQ-FS-005</x:v>
      </x:c>
      <x:c r="C8" s="15" t="str">
        <x:v>TS_FS_007</x:v>
      </x:c>
      <x:c r="D8" s="15" t="str">
        <x:v>Flight Search</x:v>
      </x:c>
      <x:c r="E8" s="15" t="str">
        <x:v>Verify search results correspond to the selected travel date</x:v>
      </x:c>
      <x:c r="F8" s="15" t="str">
        <x:v>A valid flight search can be submitted.</x:v>
      </x:c>
      <x:c r="G8" s="15" t="str">
        <x:v>Supported future date</x:v>
      </x:c>
      <x:c r="H8" s="15" t="str">
        <x:v>1. Search for a supported route on a future date
2. Review returned results</x:v>
      </x:c>
      <x:c r="I8" s="15" t="str">
        <x:v>Displayed results should correspond to the selected travel date, subject to itinerary rules shown by the system.</x:v>
      </x:c>
      <x:c r="J8" s="15" t="str">
        <x:v>High</x:v>
      </x:c>
      <x:c r="K8" s="15" t="str">
        <x:v>Functional</x:v>
      </x:c>
      <x:c r="L8" s="15" t="str">
        <x:v>Not Executed</x:v>
      </x:c>
      <x:c r="M8" s="15" t="str"/>
      <x:c r="N8" s="15" t="str"/>
      <x:c r="O8" s="15" t="str"/>
    </x:row>
    <x:row r="9">
      <x:c r="A9" s="15" t="str">
        <x:v>TC_FS_008</x:v>
      </x:c>
      <x:c r="B9" s="15" t="str">
        <x:v>REQ-FS-005</x:v>
      </x:c>
      <x:c r="C9" s="15" t="str">
        <x:v>TS_FS_008</x:v>
      </x:c>
      <x:c r="D9" s="15" t="str">
        <x:v>Flight Search</x:v>
      </x:c>
      <x:c r="E9" s="15" t="str">
        <x:v>Verify system behavior when no flights are available</x:v>
      </x:c>
      <x:c r="F9" s="15" t="str">
        <x:v>User can submit a valid search.</x:v>
      </x:c>
      <x:c r="G9" s="15" t="str">
        <x:v>Route/date combination with no inventory, where reproducible</x:v>
      </x:c>
      <x:c r="H9" s="15" t="str">
        <x:v>1. Enter valid search criteria that return no inventory
2. Click Search</x:v>
      </x:c>
      <x:c r="I9" s="15" t="str">
        <x:v>The system should show a clear no-results state and should not display unrelated flight inventory.</x:v>
      </x:c>
      <x:c r="J9" s="15" t="str">
        <x:v>Medium</x:v>
      </x:c>
      <x:c r="K9" s="15" t="str">
        <x:v>Negative</x:v>
      </x:c>
      <x:c r="L9" s="15" t="str">
        <x:v>Not Executed</x:v>
      </x:c>
      <x:c r="M9" s="15" t="str"/>
      <x:c r="N9" s="15" t="str"/>
      <x:c r="O9" s="15" t="str"/>
    </x:row>
    <x:row r="10">
      <x:c r="A10" s="15" t="str">
        <x:v>TC_FARE_001</x:v>
      </x:c>
      <x:c r="B10" s="15" t="str">
        <x:v>REQ-FARE-001</x:v>
      </x:c>
      <x:c r="C10" s="15" t="str">
        <x:v>TS_FARE_001</x:v>
      </x:c>
      <x:c r="D10" s="15" t="str">
        <x:v>Fare</x:v>
      </x:c>
      <x:c r="E10" s="15" t="str">
        <x:v>Verify fare is displayed for a selected flight</x:v>
      </x:c>
      <x:c r="F10" s="15" t="str">
        <x:v>Flight search returns at least one result.</x:v>
      </x:c>
      <x:c r="G10" s="15" t="str">
        <x:v>Any available result</x:v>
      </x:c>
      <x:c r="H10" s="15" t="str">
        <x:v>1. Perform a valid flight search
2. Review fare shown for an available flight</x:v>
      </x:c>
      <x:c r="I10" s="15" t="str">
        <x:v>A fare should be visible for the selectable flight/fare option.</x:v>
      </x:c>
      <x:c r="J10" s="15" t="str">
        <x:v>High</x:v>
      </x:c>
      <x:c r="K10" s="15" t="str">
        <x:v>Functional</x:v>
      </x:c>
      <x:c r="L10" s="15" t="str">
        <x:v>Not Executed</x:v>
      </x:c>
      <x:c r="M10" s="15" t="str"/>
      <x:c r="N10" s="15" t="str"/>
      <x:c r="O10" s="15" t="str"/>
    </x:row>
    <x:row r="11">
      <x:c r="A11" s="15" t="str">
        <x:v>TC_FARE_002</x:v>
      </x:c>
      <x:c r="B11" s="15" t="str">
        <x:v>REQ-FARE-002</x:v>
      </x:c>
      <x:c r="C11" s="15" t="str">
        <x:v>TS_FARE_002</x:v>
      </x:c>
      <x:c r="D11" s="15" t="str">
        <x:v>Fare</x:v>
      </x:c>
      <x:c r="E11" s="15" t="str">
        <x:v>Verify total fare calculation includes applicable components correctly</x:v>
      </x:c>
      <x:c r="F11" s="15" t="str">
        <x:v>Fare breakdown is available.</x:v>
      </x:c>
      <x:c r="G11" s="15" t="str">
        <x:v>Base fare, taxes/fees, optional ancillaries where supported</x:v>
      </x:c>
      <x:c r="H11" s="15" t="str">
        <x:v>1. Select a flight
2. Review fare breakdown
3. Calculate displayed components
4. Compare with total payable amount</x:v>
      </x:c>
      <x:c r="I11" s="15" t="str">
        <x:v>Total payable amount should equal the sum of applicable fare components minus valid discounts.</x:v>
      </x:c>
      <x:c r="J11" s="15" t="str">
        <x:v>High</x:v>
      </x:c>
      <x:c r="K11" s="15" t="str">
        <x:v>Functional</x:v>
      </x:c>
      <x:c r="L11" s="15" t="str">
        <x:v>Not Executed</x:v>
      </x:c>
      <x:c r="M11" s="15" t="str"/>
      <x:c r="N11" s="15" t="str"/>
      <x:c r="O11" s="15" t="str"/>
    </x:row>
    <x:row r="12">
      <x:c r="A12" s="15" t="str">
        <x:v>TC_FARE_003</x:v>
      </x:c>
      <x:c r="B12" s="15" t="str">
        <x:v>REQ-FARE-003</x:v>
      </x:c>
      <x:c r="C12" s="15" t="str">
        <x:v>TS_FARE_003</x:v>
      </x:c>
      <x:c r="D12" s="15" t="str">
        <x:v>Fare</x:v>
      </x:c>
      <x:c r="E12" s="15" t="str">
        <x:v>Verify total fare recalculates when passenger count changes</x:v>
      </x:c>
      <x:c r="F12" s="15" t="str">
        <x:v>Passenger count can be modified before payment.</x:v>
      </x:c>
      <x:c r="G12" s="15" t="str">
        <x:v>1 Adult then 2 Adults, where supported</x:v>
      </x:c>
      <x:c r="H12" s="15" t="str">
        <x:v>1. Search/select a flight for 1 adult
2. Note total fare
3. Change passenger count to 2 adults
4. Recheck total fare</x:v>
      </x:c>
      <x:c r="I12" s="15" t="str">
        <x:v>Fare should be recalculated according to the updated passenger count and applicable pricing rules.</x:v>
      </x:c>
      <x:c r="J12" s="15" t="str">
        <x:v>High</x:v>
      </x:c>
      <x:c r="K12" s="15" t="str">
        <x:v>Functional</x:v>
      </x:c>
      <x:c r="L12" s="15" t="str">
        <x:v>Not Executed</x:v>
      </x:c>
      <x:c r="M12" s="15" t="str"/>
      <x:c r="N12" s="15" t="str"/>
      <x:c r="O12" s="15" t="str"/>
    </x:row>
    <x:row r="13">
      <x:c r="A13" s="15" t="str">
        <x:v>TC_FARE_004</x:v>
      </x:c>
      <x:c r="B13" s="15" t="str">
        <x:v>REQ-FARE-004</x:v>
      </x:c>
      <x:c r="C13" s="15" t="str">
        <x:v>TS_FARE_005</x:v>
      </x:c>
      <x:c r="D13" s="15" t="str">
        <x:v>Fare</x:v>
      </x:c>
      <x:c r="E13" s="15" t="str">
        <x:v>Verify fare remains consistent from selection to booking review</x:v>
      </x:c>
      <x:c r="F13" s="15" t="str">
        <x:v>User can continue from flight selection to review.</x:v>
      </x:c>
      <x:c r="G13" s="15" t="str">
        <x:v>Selected flight/fare</x:v>
      </x:c>
      <x:c r="H13" s="15" t="str">
        <x:v>1. Note fare at flight selection
2. Continue to review page
3. Compare fare values</x:v>
      </x:c>
      <x:c r="I13" s="15" t="str">
        <x:v>Fare should remain consistent unless a change is explicitly communicated before continuation/payment.</x:v>
      </x:c>
      <x:c r="J13" s="15" t="str">
        <x:v>High</x:v>
      </x:c>
      <x:c r="K13" s="15" t="str">
        <x:v>Regression</x:v>
      </x:c>
      <x:c r="L13" s="15" t="str">
        <x:v>Not Executed</x:v>
      </x:c>
      <x:c r="M13" s="15" t="str"/>
      <x:c r="N13" s="15" t="str"/>
      <x:c r="O13" s="15" t="str"/>
    </x:row>
    <x:row r="14">
      <x:c r="A14" s="15" t="str">
        <x:v>TC_FARE_005</x:v>
      </x:c>
      <x:c r="B14" s="15" t="str">
        <x:v>REQ-FARE-004</x:v>
      </x:c>
      <x:c r="C14" s="15" t="str">
        <x:v>TS_FARE_007</x:v>
      </x:c>
      <x:c r="D14" s="15" t="str">
        <x:v>Fare</x:v>
      </x:c>
      <x:c r="E14" s="15" t="str">
        <x:v>Verify final payable amount displayed before payment is correct</x:v>
      </x:c>
      <x:c r="F14" s="15" t="str">
        <x:v>User has reached payment review.</x:v>
      </x:c>
      <x:c r="G14" s="15" t="str">
        <x:v>Booking with fare components displayed</x:v>
      </x:c>
      <x:c r="H14" s="15" t="str">
        <x:v>1. Review final payable amount
2. Compare with previously displayed fare breakdown</x:v>
      </x:c>
      <x:c r="I14" s="15" t="str">
        <x:v>The final amount should match the correctly calculated booking total.</x:v>
      </x:c>
      <x:c r="J14" s="15" t="str">
        <x:v>High</x:v>
      </x:c>
      <x:c r="K14" s="15" t="str">
        <x:v>Functional</x:v>
      </x:c>
      <x:c r="L14" s="15" t="str">
        <x:v>Not Executed</x:v>
      </x:c>
      <x:c r="M14" s="15" t="str"/>
      <x:c r="N14" s="15" t="str"/>
      <x:c r="O14" s="15" t="str"/>
    </x:row>
    <x:row r="15">
      <x:c r="A15" s="15" t="str">
        <x:v>TC_PAX_001</x:v>
      </x:c>
      <x:c r="B15" s="15" t="str">
        <x:v>REQ-PAX-001</x:v>
      </x:c>
      <x:c r="C15" s="15" t="str">
        <x:v>TS_PAX_001</x:v>
      </x:c>
      <x:c r="D15" s="15" t="str">
        <x:v>Passenger</x:v>
      </x:c>
      <x:c r="E15" s="15" t="str">
        <x:v>Verify valid passenger details are accepted</x:v>
      </x:c>
      <x:c r="F15" s="15" t="str">
        <x:v>A flight/fare has been selected.</x:v>
      </x:c>
      <x:c r="G15" s="15" t="str">
        <x:v>Valid passenger details supported by SUT</x:v>
      </x:c>
      <x:c r="H15" s="15" t="str">
        <x:v>1. Enter valid passenger details
2. Continue to next step</x:v>
      </x:c>
      <x:c r="I15" s="15" t="str">
        <x:v>Valid passenger details should be accepted and user should be able to continue.</x:v>
      </x:c>
      <x:c r="J15" s="15" t="str">
        <x:v>High</x:v>
      </x:c>
      <x:c r="K15" s="15" t="str">
        <x:v>Positive</x:v>
      </x:c>
      <x:c r="L15" s="15" t="str">
        <x:v>Not Executed</x:v>
      </x:c>
      <x:c r="M15" s="15" t="str"/>
      <x:c r="N15" s="15" t="str"/>
      <x:c r="O15" s="15" t="str"/>
    </x:row>
    <x:row r="16">
      <x:c r="A16" s="15" t="str">
        <x:v>TC_PAX_002</x:v>
      </x:c>
      <x:c r="B16" s="15" t="str">
        <x:v>REQ-PAX-001</x:v>
      </x:c>
      <x:c r="C16" s="15" t="str">
        <x:v>TS_PAX_002</x:v>
      </x:c>
      <x:c r="D16" s="15" t="str">
        <x:v>Passenger</x:v>
      </x:c>
      <x:c r="E16" s="15" t="str">
        <x:v>Verify mandatory passenger fields cannot be left blank</x:v>
      </x:c>
      <x:c r="F16" s="15" t="str">
        <x:v>Passenger details page is displayed.</x:v>
      </x:c>
      <x:c r="G16" s="15" t="str">
        <x:v>Leave one mandatory field blank</x:v>
      </x:c>
      <x:c r="H16" s="15" t="str">
        <x:v>1. Leave a mandatory passenger field blank
2. Complete other required fields
3. Attempt to continue</x:v>
      </x:c>
      <x:c r="I16" s="15" t="str">
        <x:v>The system should prevent continuation and identify the missing mandatory information.</x:v>
      </x:c>
      <x:c r="J16" s="15" t="str">
        <x:v>High</x:v>
      </x:c>
      <x:c r="K16" s="15" t="str">
        <x:v>Negative</x:v>
      </x:c>
      <x:c r="L16" s="15" t="str">
        <x:v>Not Executed</x:v>
      </x:c>
      <x:c r="M16" s="15" t="str"/>
      <x:c r="N16" s="15" t="str"/>
      <x:c r="O16" s="15" t="str"/>
    </x:row>
    <x:row r="17">
      <x:c r="A17" s="15" t="str">
        <x:v>TC_PAX_003</x:v>
      </x:c>
      <x:c r="B17" s="15" t="str">
        <x:v>REQ-PAX-002</x:v>
      </x:c>
      <x:c r="C17" s="15" t="str">
        <x:v>TS_PAX_003</x:v>
      </x:c>
      <x:c r="D17" s="15" t="str">
        <x:v>Passenger</x:v>
      </x:c>
      <x:c r="E17" s="15" t="str">
        <x:v>Verify passenger name length boundary handling</x:v>
      </x:c>
      <x:c r="F17" s="15" t="str">
        <x:v>Passenger details page is displayed.</x:v>
      </x:c>
      <x:c r="G17" s="15" t="str">
        <x:v>Name at supported maximum length and one character beyond, where limit is known</x:v>
      </x:c>
      <x:c r="H17" s="15" t="str">
        <x:v>1. Enter a name at the documented/observed maximum
2. Attempt to continue
3. Repeat with value exceeding the limit</x:v>
      </x:c>
      <x:c r="I17" s="15" t="str">
        <x:v>Boundary value should be handled according to the field rules; unsupported excessive input should not silently corrupt data.</x:v>
      </x:c>
      <x:c r="J17" s="15" t="str">
        <x:v>Medium</x:v>
      </x:c>
      <x:c r="K17" s="15" t="str">
        <x:v>Boundary</x:v>
      </x:c>
      <x:c r="L17" s="15" t="str">
        <x:v>Not Executed</x:v>
      </x:c>
      <x:c r="M17" s="15" t="str"/>
      <x:c r="N17" s="15" t="str"/>
      <x:c r="O17" s="15" t="str"/>
    </x:row>
    <x:row r="18">
      <x:c r="A18" s="15" t="str">
        <x:v>TC_PAX_004</x:v>
      </x:c>
      <x:c r="B18" s="15" t="str">
        <x:v>REQ-PAX-004</x:v>
      </x:c>
      <x:c r="C18" s="15" t="str">
        <x:v>TS_PAX_004</x:v>
      </x:c>
      <x:c r="D18" s="15" t="str">
        <x:v>Passenger</x:v>
      </x:c>
      <x:c r="E18" s="15" t="str">
        <x:v>Verify duplicate passenger details are appropriately handled</x:v>
      </x:c>
      <x:c r="F18" s="15" t="str">
        <x:v>Booking supports more than one passenger.</x:v>
      </x:c>
      <x:c r="G18" s="15" t="str">
        <x:v>Two passenger entries with identical details</x:v>
      </x:c>
      <x:c r="H18" s="15" t="str">
        <x:v>1. Add multiple passengers
2. Enter identical details for two passengers
3. Attempt to continue</x:v>
      </x:c>
      <x:c r="I18" s="15" t="str">
        <x:v>The system should handle duplicate passenger details according to the defined business rule and should not create ambiguous traveler records.</x:v>
      </x:c>
      <x:c r="J18" s="15" t="str">
        <x:v>Medium</x:v>
      </x:c>
      <x:c r="K18" s="15" t="str">
        <x:v>Business Rule</x:v>
      </x:c>
      <x:c r="L18" s="15" t="str">
        <x:v>Not Executed</x:v>
      </x:c>
      <x:c r="M18" s="15" t="str"/>
      <x:c r="N18" s="15" t="str"/>
      <x:c r="O18" s="15" t="str"/>
    </x:row>
    <x:row r="19">
      <x:c r="A19" s="15" t="str">
        <x:v>TC_PAX_005</x:v>
      </x:c>
      <x:c r="B19" s="15" t="str">
        <x:v>REQ-PAX-003</x:v>
      </x:c>
      <x:c r="C19" s="15" t="str">
        <x:v>TS_PAX_005</x:v>
      </x:c>
      <x:c r="D19" s="15" t="str">
        <x:v>Passenger</x:v>
      </x:c>
      <x:c r="E19" s="15" t="str">
        <x:v>Verify supported passenger categories are handled correctly</x:v>
      </x:c>
      <x:c r="F19" s="15" t="str">
        <x:v>Passenger selector/details supports passenger types.</x:v>
      </x:c>
      <x:c r="G19" s="15" t="str">
        <x:v>Adult/Child/Infant where supported</x:v>
      </x:c>
      <x:c r="H19" s="15" t="str">
        <x:v>1. Select each supported passenger type in valid combinations
2. Continue through passenger entry</x:v>
      </x:c>
      <x:c r="I19" s="15" t="str">
        <x:v>The system should apply the appropriate validation and pricing rules for each supported passenger type.</x:v>
      </x:c>
      <x:c r="J19" s="15" t="str">
        <x:v>High</x:v>
      </x:c>
      <x:c r="K19" s="15" t="str">
        <x:v>Functional</x:v>
      </x:c>
      <x:c r="L19" s="15" t="str">
        <x:v>Not Executed</x:v>
      </x:c>
      <x:c r="M19" s="15" t="str"/>
      <x:c r="N19" s="15" t="str"/>
      <x:c r="O19" s="15" t="str"/>
    </x:row>
    <x:row r="20">
      <x:c r="A20" s="15" t="str">
        <x:v>TC_PAY_001</x:v>
      </x:c>
      <x:c r="B20" s="15" t="str">
        <x:v>REQ-PAY-001</x:v>
      </x:c>
      <x:c r="C20" s="15" t="str">
        <x:v>TS_PAY_001</x:v>
      </x:c>
      <x:c r="D20" s="15" t="str">
        <x:v>Payment</x:v>
      </x:c>
      <x:c r="E20" s="15" t="str">
        <x:v>Verify successful payment using a supported test payment method</x:v>
      </x:c>
      <x:c r="F20" s="15" t="str">
        <x:v>Booking is ready for payment; sandbox/test payment method is available.</x:v>
      </x:c>
      <x:c r="G20" s="15" t="str">
        <x:v>Supported sandbox/test payment data</x:v>
      </x:c>
      <x:c r="H20" s="15" t="str">
        <x:v>1. Proceed to payment
2. Select a supported test payment method
3. Enter valid test details
4. Submit payment</x:v>
      </x:c>
      <x:c r="I20" s="15" t="str">
        <x:v>Payment should complete successfully and transaction/booking status should update appropriately.</x:v>
      </x:c>
      <x:c r="J20" s="15" t="str">
        <x:v>Critical</x:v>
      </x:c>
      <x:c r="K20" s="15" t="str">
        <x:v>Positive</x:v>
      </x:c>
      <x:c r="L20" s="15" t="str">
        <x:v>Not Executed</x:v>
      </x:c>
      <x:c r="M20" s="15" t="str"/>
      <x:c r="N20" s="15" t="str"/>
      <x:c r="O20" s="15" t="str"/>
    </x:row>
    <x:row r="21">
      <x:c r="A21" s="15" t="str">
        <x:v>TC_PAY_002</x:v>
      </x:c>
      <x:c r="B21" s="15" t="str">
        <x:v>REQ-PAY-002</x:v>
      </x:c>
      <x:c r="C21" s="15" t="str">
        <x:v>TS_PAY_002</x:v>
      </x:c>
      <x:c r="D21" s="15" t="str">
        <x:v>Payment</x:v>
      </x:c>
      <x:c r="E21" s="15" t="str">
        <x:v>Verify failed payment does not create a successfully paid booking</x:v>
      </x:c>
      <x:c r="F21" s="15" t="str">
        <x:v>Booking is ready for payment.</x:v>
      </x:c>
      <x:c r="G21" s="15" t="str">
        <x:v>Sandbox/test data that produces failure, if supported</x:v>
      </x:c>
      <x:c r="H21" s="15" t="str">
        <x:v>1. Submit a payment designed to fail
2. Review payment and booking status</x:v>
      </x:c>
      <x:c r="I21" s="15" t="str">
        <x:v>Payment should be marked failed/unsuccessful and booking should not be incorrectly marked as successfully paid.</x:v>
      </x:c>
      <x:c r="J21" s="15" t="str">
        <x:v>Critical</x:v>
      </x:c>
      <x:c r="K21" s="15" t="str">
        <x:v>Negative</x:v>
      </x:c>
      <x:c r="L21" s="15" t="str">
        <x:v>Not Executed</x:v>
      </x:c>
      <x:c r="M21" s="15" t="str"/>
      <x:c r="N21" s="15" t="str"/>
      <x:c r="O21" s="15" t="str"/>
    </x:row>
    <x:row r="22">
      <x:c r="A22" s="15" t="str">
        <x:v>TC_PAY_003</x:v>
      </x:c>
      <x:c r="B22" s="15" t="str">
        <x:v>REQ-PAY-003</x:v>
      </x:c>
      <x:c r="C22" s="15" t="str">
        <x:v>TS_PAY_003</x:v>
      </x:c>
      <x:c r="D22" s="15" t="str">
        <x:v>Payment</x:v>
      </x:c>
      <x:c r="E22" s="15" t="str">
        <x:v>Verify repeated payment submission does not create duplicate charges</x:v>
      </x:c>
      <x:c r="F22" s="15" t="str">
        <x:v>Booking is ready for payment.</x:v>
      </x:c>
      <x:c r="G22" s="15" t="str">
        <x:v>Same payment attempt submitted repeatedly where safe/test-mode</x:v>
      </x:c>
      <x:c r="H22" s="15" t="str">
        <x:v>1. Submit payment
2. Repeat/click submit again during processing where reproducible
3. Review transaction outcome</x:v>
      </x:c>
      <x:c r="I22" s="15" t="str">
        <x:v>Only one charge/transaction side effect should be created for the booking.</x:v>
      </x:c>
      <x:c r="J22" s="15" t="str">
        <x:v>Critical</x:v>
      </x:c>
      <x:c r="K22" s="15" t="str">
        <x:v>Risk-Based</x:v>
      </x:c>
      <x:c r="L22" s="15" t="str">
        <x:v>Not Executed</x:v>
      </x:c>
      <x:c r="M22" s="15" t="str"/>
      <x:c r="N22" s="15" t="str"/>
      <x:c r="O22" s="15" t="str"/>
    </x:row>
    <x:row r="23">
      <x:c r="A23" s="15" t="str">
        <x:v>TC_PAY_004</x:v>
      </x:c>
      <x:c r="B23" s="15" t="str">
        <x:v>REQ-PAY-003</x:v>
      </x:c>
      <x:c r="C23" s="15" t="str">
        <x:v>TS_PAY_004</x:v>
      </x:c>
      <x:c r="D23" s="15" t="str">
        <x:v>Payment</x:v>
      </x:c>
      <x:c r="E23" s="15" t="str">
        <x:v>Verify repeated payment submission does not create duplicate bookings</x:v>
      </x:c>
      <x:c r="F23" s="15" t="str">
        <x:v>Booking is ready for payment.</x:v>
      </x:c>
      <x:c r="G23" s="15" t="str">
        <x:v>Same booking/payment request</x:v>
      </x:c>
      <x:c r="H23" s="15" t="str">
        <x:v>1. Submit payment repeatedly where safe/test-mode
2. Review resulting booking records</x:v>
      </x:c>
      <x:c r="I23" s="15" t="str">
        <x:v>Only one logical booking should be created for the same successful transaction/request.</x:v>
      </x:c>
      <x:c r="J23" s="15" t="str">
        <x:v>Critical</x:v>
      </x:c>
      <x:c r="K23" s="15" t="str">
        <x:v>Risk-Based</x:v>
      </x:c>
      <x:c r="L23" s="15" t="str">
        <x:v>Not Executed</x:v>
      </x:c>
      <x:c r="M23" s="15" t="str"/>
      <x:c r="N23" s="15" t="str"/>
      <x:c r="O23" s="15" t="str"/>
    </x:row>
    <x:row r="24">
      <x:c r="A24" s="15" t="str">
        <x:v>TC_PAY_005</x:v>
      </x:c>
      <x:c r="B24" s="15" t="str">
        <x:v>REQ-PAY-004</x:v>
      </x:c>
      <x:c r="C24" s="15" t="str">
        <x:v>TS_PAY_005</x:v>
      </x:c>
      <x:c r="D24" s="15" t="str">
        <x:v>Payment</x:v>
      </x:c>
      <x:c r="E24" s="15" t="str">
        <x:v>Verify payment timeout is handled safely</x:v>
      </x:c>
      <x:c r="F24" s="15" t="str">
        <x:v>Timeout can be simulated or tested at design level if not supported by SUT.</x:v>
      </x:c>
      <x:c r="G24" s="15" t="str">
        <x:v>Payment request timeout scenario</x:v>
      </x:c>
      <x:c r="H24" s="15" t="str">
        <x:v>1. Initiate payment
2. Simulate/observe timeout where supported
3. Check UI status and retry behavior</x:v>
      </x:c>
      <x:c r="I24" s="15" t="str">
        <x:v>The user should not receive a misleading success/failure state and retry should not cause duplicate payment/booking side effects.</x:v>
      </x:c>
      <x:c r="J24" s="15" t="str">
        <x:v>Critical</x:v>
      </x:c>
      <x:c r="K24" s="15" t="str">
        <x:v>Negative</x:v>
      </x:c>
      <x:c r="L24" s="15" t="str">
        <x:v>Not Executed</x:v>
      </x:c>
      <x:c r="M24" s="15" t="str"/>
      <x:c r="N24" s="15" t="str"/>
      <x:c r="O24" s="15" t="str"/>
    </x:row>
    <x:row r="25">
      <x:c r="A25" s="15" t="str">
        <x:v>TC_PAY_006</x:v>
      </x:c>
      <x:c r="B25" s="15" t="str">
        <x:v>REQ-PAY-005</x:v>
      </x:c>
      <x:c r="C25" s="15" t="str">
        <x:v>TS_PAY_006</x:v>
      </x:c>
      <x:c r="D25" s="15" t="str">
        <x:v>Payment</x:v>
      </x:c>
      <x:c r="E25" s="15" t="str">
        <x:v>Verify charged amount matches final payable booking amount</x:v>
      </x:c>
      <x:c r="F25" s="15" t="str">
        <x:v>Booking has a known final payable amount.</x:v>
      </x:c>
      <x:c r="G25" s="15" t="str">
        <x:v>Final amount from review page</x:v>
      </x:c>
      <x:c r="H25" s="15" t="str">
        <x:v>1. Note final payable amount
2. Complete test payment
3. Compare transaction amount with booking amount</x:v>
      </x:c>
      <x:c r="I25" s="15" t="str">
        <x:v>Transaction amount should match the final payable booking amount.</x:v>
      </x:c>
      <x:c r="J25" s="15" t="str">
        <x:v>Critical</x:v>
      </x:c>
      <x:c r="K25" s="15" t="str">
        <x:v>Functional</x:v>
      </x:c>
      <x:c r="L25" s="15" t="str">
        <x:v>Not Executed</x:v>
      </x:c>
      <x:c r="M25" s="15" t="str"/>
      <x:c r="N25" s="15" t="str"/>
      <x:c r="O25" s="15" t="str"/>
    </x:row>
    <x:row r="26">
      <x:c r="A26" s="15" t="str">
        <x:v>TC_PAY_007</x:v>
      </x:c>
      <x:c r="B26" s="15" t="str">
        <x:v>REQ-PAY-005</x:v>
      </x:c>
      <x:c r="C26" s="15" t="str">
        <x:v>TS_PAY_009</x:v>
      </x:c>
      <x:c r="D26" s="15" t="str">
        <x:v>Payment</x:v>
      </x:c>
      <x:c r="E26" s="15" t="str">
        <x:v>Verify handling when payment succeeds but booking/PNR generation fails</x:v>
      </x:c>
      <x:c r="F26" s="15" t="str">
        <x:v>Scenario can be simulated at design level if not reproducible in demo.</x:v>
      </x:c>
      <x:c r="G26" s="15" t="str">
        <x:v>Successful payment + downstream booking/PNR failure</x:v>
      </x:c>
      <x:c r="H26" s="15" t="str">
        <x:v>1. Record payment transaction reference
2. Observe/simulate downstream booking failure
3. Check booking/PNR status
4. Check retry/reversal/recovery behavior</x:v>
      </x:c>
      <x:c r="I26" s="15" t="str">
        <x:v>System should prevent duplicate transactions and provide safe reconciliation, retry, reversal, or recovery behavior.</x:v>
      </x:c>
      <x:c r="J26" s="15" t="str">
        <x:v>Critical</x:v>
      </x:c>
      <x:c r="K26" s="15" t="str">
        <x:v>Integration</x:v>
      </x:c>
      <x:c r="L26" s="15" t="str">
        <x:v>Not Executed</x:v>
      </x:c>
      <x:c r="M26" s="15" t="str"/>
      <x:c r="N26" s="15" t="str"/>
      <x:c r="O26" s="15" t="str"/>
    </x:row>
    <x:row r="27">
      <x:c r="A27" s="15" t="str">
        <x:v>TC_PNR_001</x:v>
      </x:c>
      <x:c r="B27" s="15" t="str">
        <x:v>REQ-PNR-001</x:v>
      </x:c>
      <x:c r="C27" s="15" t="str">
        <x:v>TS_PNR_001</x:v>
      </x:c>
      <x:c r="D27" s="15" t="str">
        <x:v>Booking / PNR</x:v>
      </x:c>
      <x:c r="E27" s="15" t="str">
        <x:v>Verify successful booking creates a booking record</x:v>
      </x:c>
      <x:c r="F27" s="15" t="str">
        <x:v>Payment/booking prerequisites are satisfied.</x:v>
      </x:c>
      <x:c r="G27" s="15" t="str">
        <x:v>Valid completed booking flow</x:v>
      </x:c>
      <x:c r="H27" s="15" t="str">
        <x:v>1. Complete valid booking flow
2. Review confirmation</x:v>
      </x:c>
      <x:c r="I27" s="15" t="str">
        <x:v>A booking record/reference should be created after successful booking completion.</x:v>
      </x:c>
      <x:c r="J27" s="15" t="str">
        <x:v>Critical</x:v>
      </x:c>
      <x:c r="K27" s="15" t="str">
        <x:v>Positive</x:v>
      </x:c>
      <x:c r="L27" s="15" t="str">
        <x:v>Not Executed</x:v>
      </x:c>
      <x:c r="M27" s="15" t="str"/>
      <x:c r="N27" s="15" t="str"/>
      <x:c r="O27" s="15" t="str"/>
    </x:row>
    <x:row r="28">
      <x:c r="A28" s="15" t="str">
        <x:v>TC_PNR_002</x:v>
      </x:c>
      <x:c r="B28" s="15" t="str">
        <x:v>REQ-PNR-002</x:v>
      </x:c>
      <x:c r="C28" s="15" t="str">
        <x:v>TS_PNR_002</x:v>
      </x:c>
      <x:c r="D28" s="15" t="str">
        <x:v>Booking / PNR</x:v>
      </x:c>
      <x:c r="E28" s="15" t="str">
        <x:v>Verify successful booking generates a non-null non-empty PNR</x:v>
      </x:c>
      <x:c r="F28" s="15" t="str">
        <x:v>A booking completes successfully.</x:v>
      </x:c>
      <x:c r="G28" s="15" t="str">
        <x:v>Successful booking</x:v>
      </x:c>
      <x:c r="H28" s="15" t="str">
        <x:v>1. Complete booking
2. Inspect confirmation/reference details</x:v>
      </x:c>
      <x:c r="I28" s="15" t="str">
        <x:v>A valid PNR/booking reference should be present and should not be null or empty.</x:v>
      </x:c>
      <x:c r="J28" s="15" t="str">
        <x:v>Critical</x:v>
      </x:c>
      <x:c r="K28" s="15" t="str">
        <x:v>Functional</x:v>
      </x:c>
      <x:c r="L28" s="15" t="str">
        <x:v>Not Executed</x:v>
      </x:c>
      <x:c r="M28" s="15" t="str"/>
      <x:c r="N28" s="15" t="str"/>
      <x:c r="O28" s="15" t="str"/>
    </x:row>
    <x:row r="29">
      <x:c r="A29" s="15" t="str">
        <x:v>TC_PNR_003</x:v>
      </x:c>
      <x:c r="B29" s="15" t="str">
        <x:v>REQ-PNR-003</x:v>
      </x:c>
      <x:c r="C29" s="15" t="str">
        <x:v>TS_PNR_003</x:v>
      </x:c>
      <x:c r="D29" s="15" t="str">
        <x:v>Booking / PNR</x:v>
      </x:c>
      <x:c r="E29" s="15" t="str">
        <x:v>Verify passenger details stored in booking are correct</x:v>
      </x:c>
      <x:c r="F29" s="15" t="str">
        <x:v>A booking has been created.</x:v>
      </x:c>
      <x:c r="G29" s="15" t="str">
        <x:v>Known passenger test data</x:v>
      </x:c>
      <x:c r="H29" s="15" t="str">
        <x:v>1. Complete booking using known passenger data
2. Retrieve/review booking
3. Compare passenger details</x:v>
      </x:c>
      <x:c r="I29" s="15" t="str">
        <x:v>Stored/displayed passenger details should match the data entered during booking.</x:v>
      </x:c>
      <x:c r="J29" s="15" t="str">
        <x:v>High</x:v>
      </x:c>
      <x:c r="K29" s="15" t="str">
        <x:v>Functional</x:v>
      </x:c>
      <x:c r="L29" s="15" t="str">
        <x:v>Not Executed</x:v>
      </x:c>
      <x:c r="M29" s="15" t="str"/>
      <x:c r="N29" s="15" t="str"/>
      <x:c r="O29" s="15" t="str"/>
    </x:row>
    <x:row r="30">
      <x:c r="A30" s="15" t="str">
        <x:v>TC_PNR_004</x:v>
      </x:c>
      <x:c r="B30" s="15" t="str">
        <x:v>REQ-PNR-003</x:v>
      </x:c>
      <x:c r="C30" s="15" t="str">
        <x:v>TS_PNR_004</x:v>
      </x:c>
      <x:c r="D30" s="15" t="str">
        <x:v>Booking / PNR</x:v>
      </x:c>
      <x:c r="E30" s="15" t="str">
        <x:v>Verify itinerary details stored in booking are correct</x:v>
      </x:c>
      <x:c r="F30" s="15" t="str">
        <x:v>A booking has been created.</x:v>
      </x:c>
      <x:c r="G30" s="15" t="str">
        <x:v>Known origin/destination/date/flight</x:v>
      </x:c>
      <x:c r="H30" s="15" t="str">
        <x:v>1. Complete booking
2. Retrieve/review booking
3. Compare itinerary with selected flight</x:v>
      </x:c>
      <x:c r="I30" s="15" t="str">
        <x:v>Booking itinerary should match the selected route, date, and flight/segment information.</x:v>
      </x:c>
      <x:c r="J30" s="15" t="str">
        <x:v>High</x:v>
      </x:c>
      <x:c r="K30" s="15" t="str">
        <x:v>Functional</x:v>
      </x:c>
      <x:c r="L30" s="15" t="str">
        <x:v>Not Executed</x:v>
      </x:c>
      <x:c r="M30" s="15" t="str"/>
      <x:c r="N30" s="15" t="str"/>
      <x:c r="O30" s="15" t="str"/>
    </x:row>
    <x:row r="31">
      <x:c r="A31" s="15" t="str">
        <x:v>TC_PNR_005</x:v>
      </x:c>
      <x:c r="B31" s="15" t="str">
        <x:v>REQ-PNR-003</x:v>
      </x:c>
      <x:c r="C31" s="15" t="str">
        <x:v>TS_PNR_005</x:v>
      </x:c>
      <x:c r="D31" s="15" t="str">
        <x:v>Booking / PNR</x:v>
      </x:c>
      <x:c r="E31" s="15" t="str">
        <x:v>Verify fare stored in booking matches final payable amount</x:v>
      </x:c>
      <x:c r="F31" s="15" t="str">
        <x:v>A booking has been created.</x:v>
      </x:c>
      <x:c r="G31" s="15" t="str">
        <x:v>Known final payable amount</x:v>
      </x:c>
      <x:c r="H31" s="15" t="str">
        <x:v>1. Note final payable amount
2. Complete booking
3. Retrieve/review booking fare</x:v>
      </x:c>
      <x:c r="I31" s="15" t="str">
        <x:v>Stored booking fare should match the final payable amount, subject to any clearly disclosed post-booking charges.</x:v>
      </x:c>
      <x:c r="J31" s="15" t="str">
        <x:v>High</x:v>
      </x:c>
      <x:c r="K31" s="15" t="str">
        <x:v>Functional</x:v>
      </x:c>
      <x:c r="L31" s="15" t="str">
        <x:v>Not Executed</x:v>
      </x:c>
      <x:c r="M31" s="15" t="str"/>
      <x:c r="N31" s="15" t="str"/>
      <x:c r="O31" s="15" t="str"/>
    </x:row>
    <x:row r="32">
      <x:c r="A32" s="15" t="str">
        <x:v>TC_PNR_006</x:v>
      </x:c>
      <x:c r="B32" s="15" t="str">
        <x:v>REQ-PNR-004</x:v>
      </x:c>
      <x:c r="C32" s="15" t="str">
        <x:v>TS_PNR_007</x:v>
      </x:c>
      <x:c r="D32" s="15" t="str">
        <x:v>Booking / PNR</x:v>
      </x:c>
      <x:c r="E32" s="15" t="str">
        <x:v>Verify booking can be retrieved using supported booking reference/PNR</x:v>
      </x:c>
      <x:c r="F32" s="15" t="str">
        <x:v>A valid booking/reference exists.</x:v>
      </x:c>
      <x:c r="G32" s="15" t="str">
        <x:v>Valid PNR/booking reference</x:v>
      </x:c>
      <x:c r="H32" s="15" t="str">
        <x:v>1. Open manage/retrieve booking function
2. Enter valid reference and any required verification data
3. Submit</x:v>
      </x:c>
      <x:c r="I32" s="15" t="str">
        <x:v>The correct booking should be retrieved.</x:v>
      </x:c>
      <x:c r="J32" s="15" t="str">
        <x:v>High</x:v>
      </x:c>
      <x:c r="K32" s="15" t="str">
        <x:v>Positive</x:v>
      </x:c>
      <x:c r="L32" s="15" t="str">
        <x:v>Not Executed</x:v>
      </x:c>
      <x:c r="M32" s="15" t="str"/>
      <x:c r="N32" s="15" t="str"/>
      <x:c r="O32" s="15" t="str"/>
    </x:row>
    <x:row r="33">
      <x:c r="A33" s="15" t="str">
        <x:v>TC_CAN_001</x:v>
      </x:c>
      <x:c r="B33" s="15" t="str">
        <x:v>REQ-CAN-001</x:v>
      </x:c>
      <x:c r="C33" s="15" t="str">
        <x:v>TS_CAN_001</x:v>
      </x:c>
      <x:c r="D33" s="15" t="str">
        <x:v>Cancellation</x:v>
      </x:c>
      <x:c r="E33" s="15" t="str">
        <x:v>Verify eligible confirmed booking can be cancelled</x:v>
      </x:c>
      <x:c r="F33" s="15" t="str">
        <x:v>A cancellable confirmed booking exists.</x:v>
      </x:c>
      <x:c r="G33" s="15" t="str">
        <x:v>Eligible booking</x:v>
      </x:c>
      <x:c r="H33" s="15" t="str">
        <x:v>1. Retrieve eligible booking
2. Start cancellation
3. Confirm cancellation</x:v>
      </x:c>
      <x:c r="I33" s="15" t="str">
        <x:v>Cancellation should complete according to booking rules and confirmation should be shown.</x:v>
      </x:c>
      <x:c r="J33" s="15" t="str">
        <x:v>High</x:v>
      </x:c>
      <x:c r="K33" s="15" t="str">
        <x:v>Positive</x:v>
      </x:c>
      <x:c r="L33" s="15" t="str">
        <x:v>Not Executed</x:v>
      </x:c>
      <x:c r="M33" s="15" t="str"/>
      <x:c r="N33" s="15" t="str"/>
      <x:c r="O33" s="15" t="str"/>
    </x:row>
    <x:row r="34">
      <x:c r="A34" s="15" t="str">
        <x:v>TC_CAN_002</x:v>
      </x:c>
      <x:c r="B34" s="15" t="str">
        <x:v>REQ-CAN-002</x:v>
      </x:c>
      <x:c r="C34" s="15" t="str">
        <x:v>TS_CAN_002</x:v>
      </x:c>
      <x:c r="D34" s="15" t="str">
        <x:v>Cancellation</x:v>
      </x:c>
      <x:c r="E34" s="15" t="str">
        <x:v>Verify booking status updates after successful cancellation</x:v>
      </x:c>
      <x:c r="F34" s="15" t="str">
        <x:v>A booking has just been cancelled.</x:v>
      </x:c>
      <x:c r="G34" s="15" t="str">
        <x:v>Cancelled booking reference</x:v>
      </x:c>
      <x:c r="H34" s="15" t="str">
        <x:v>1. Retrieve the cancelled booking
2. Review booking status</x:v>
      </x:c>
      <x:c r="I34" s="15" t="str">
        <x:v>Booking status should reflect cancellation consistently across relevant views.</x:v>
      </x:c>
      <x:c r="J34" s="15" t="str">
        <x:v>High</x:v>
      </x:c>
      <x:c r="K34" s="15" t="str">
        <x:v>Functional</x:v>
      </x:c>
      <x:c r="L34" s="15" t="str">
        <x:v>Not Executed</x:v>
      </x:c>
      <x:c r="M34" s="15" t="str"/>
      <x:c r="N34" s="15" t="str"/>
      <x:c r="O34" s="15" t="str"/>
    </x:row>
    <x:row r="35">
      <x:c r="A35" s="15" t="str">
        <x:v>TC_CAN_003</x:v>
      </x:c>
      <x:c r="B35" s="15" t="str">
        <x:v>REQ-CAN-001</x:v>
      </x:c>
      <x:c r="C35" s="15" t="str">
        <x:v>TS_CAN_003</x:v>
      </x:c>
      <x:c r="D35" s="15" t="str">
        <x:v>Cancellation</x:v>
      </x:c>
      <x:c r="E35" s="15" t="str">
        <x:v>Verify ineligible booking cannot be cancelled</x:v>
      </x:c>
      <x:c r="F35" s="15" t="str">
        <x:v>An ineligible/non-cancellable booking exists or scenario is simulated.</x:v>
      </x:c>
      <x:c r="G35" s="15" t="str">
        <x:v>Ineligible booking</x:v>
      </x:c>
      <x:c r="H35" s="15" t="str">
        <x:v>1. Retrieve ineligible booking
2. Attempt cancellation</x:v>
      </x:c>
      <x:c r="I35" s="15" t="str">
        <x:v>The system should block cancellation and clearly communicate the applicable restriction.</x:v>
      </x:c>
      <x:c r="J35" s="15" t="str">
        <x:v>Medium</x:v>
      </x:c>
      <x:c r="K35" s="15" t="str">
        <x:v>Negative</x:v>
      </x:c>
      <x:c r="L35" s="15" t="str">
        <x:v>Not Executed</x:v>
      </x:c>
      <x:c r="M35" s="15" t="str"/>
      <x:c r="N35" s="15" t="str"/>
      <x:c r="O35" s="15" t="str"/>
    </x:row>
    <x:row r="36">
      <x:c r="A36" s="15" t="str">
        <x:v>TC_REF_001</x:v>
      </x:c>
      <x:c r="B36" s="15" t="str">
        <x:v>REQ-REF-001</x:v>
      </x:c>
      <x:c r="C36" s="15" t="str">
        <x:v>TS_REF_001</x:v>
      </x:c>
      <x:c r="D36" s="15" t="str">
        <x:v>Refund</x:v>
      </x:c>
      <x:c r="E36" s="15" t="str">
        <x:v>Verify eligible cancelled booking initiates refund correctly</x:v>
      </x:c>
      <x:c r="F36" s="15" t="str">
        <x:v>A refundable cancelled booking exists.</x:v>
      </x:c>
      <x:c r="G36" s="15" t="str">
        <x:v>Refund-eligible booking</x:v>
      </x:c>
      <x:c r="H36" s="15" t="str">
        <x:v>1. Cancel/retrieve eligible booking
2. Initiate or observe refund process</x:v>
      </x:c>
      <x:c r="I36" s="15" t="str">
        <x:v>Refund should be initiated according to the applicable cancellation/fare rules.</x:v>
      </x:c>
      <x:c r="J36" s="15" t="str">
        <x:v>High</x:v>
      </x:c>
      <x:c r="K36" s="15" t="str">
        <x:v>Positive</x:v>
      </x:c>
      <x:c r="L36" s="15" t="str">
        <x:v>Not Executed</x:v>
      </x:c>
      <x:c r="M36" s="15" t="str"/>
      <x:c r="N36" s="15" t="str"/>
      <x:c r="O36" s="15" t="str"/>
    </x:row>
    <x:row r="37">
      <x:c r="A37" s="15" t="str">
        <x:v>TC_REF_002</x:v>
      </x:c>
      <x:c r="B37" s="15" t="str">
        <x:v>REQ-REF-001</x:v>
      </x:c>
      <x:c r="C37" s="15" t="str">
        <x:v>TS_REF_002</x:v>
      </x:c>
      <x:c r="D37" s="15" t="str">
        <x:v>Refund</x:v>
      </x:c>
      <x:c r="E37" s="15" t="str">
        <x:v>Verify refundable amount is calculated correctly</x:v>
      </x:c>
      <x:c r="F37" s="15" t="str">
        <x:v>Refund calculation is displayed or available.</x:v>
      </x:c>
      <x:c r="G37" s="15" t="str">
        <x:v>Known paid amount and applicable fees/rules</x:v>
      </x:c>
      <x:c r="H37" s="15" t="str">
        <x:v>1. Determine amount paid
2. Apply displayed/documented cancellation deductions
3. Compare expected and displayed refund</x:v>
      </x:c>
      <x:c r="I37" s="15" t="str">
        <x:v>Refundable amount should match the applicable fare/cancellation rules.</x:v>
      </x:c>
      <x:c r="J37" s="15" t="str">
        <x:v>High</x:v>
      </x:c>
      <x:c r="K37" s="15" t="str">
        <x:v>Functional</x:v>
      </x:c>
      <x:c r="L37" s="15" t="str">
        <x:v>Not Executed</x:v>
      </x:c>
      <x:c r="M37" s="15" t="str"/>
      <x:c r="N37" s="15" t="str"/>
      <x:c r="O37" s="15" t="str"/>
    </x:row>
    <x:row r="38">
      <x:c r="A38" s="15" t="str">
        <x:v>TC_E2E_001</x:v>
      </x:c>
      <x:c r="B38" s="15" t="str">
        <x:v>REQ-PNR-002</x:v>
      </x:c>
      <x:c r="C38" s="15" t="str">
        <x:v>TS_E2E_001</x:v>
      </x:c>
      <x:c r="D38" s="15" t="str">
        <x:v>End-to-End</x:v>
      </x:c>
      <x:c r="E38" s="15" t="str">
        <x:v>Verify successful end-to-end booking from search to PNR generation</x:v>
      </x:c>
      <x:c r="F38" s="15" t="str">
        <x:v>Test-mode booking flow is available.</x:v>
      </x:c>
      <x:c r="G38" s="15" t="str">
        <x:v>Valid search, passenger and test payment data</x:v>
      </x:c>
      <x:c r="H38" s="15" t="str">
        <x:v>1. Search flight
2. Select fare
3. Enter passenger details
4. Complete test payment
5. Review confirmation/PNR</x:v>
      </x:c>
      <x:c r="I38" s="15" t="str">
        <x:v>The entire flow should complete with consistent itinerary, passenger, fare, payment and booking information.</x:v>
      </x:c>
      <x:c r="J38" s="15" t="str">
        <x:v>Critical</x:v>
      </x:c>
      <x:c r="K38" s="15" t="str">
        <x:v>End-to-End</x:v>
      </x:c>
      <x:c r="L38" s="15" t="str">
        <x:v>Not Executed</x:v>
      </x:c>
      <x:c r="M38" s="15" t="str"/>
      <x:c r="N38" s="15" t="str"/>
      <x:c r="O38" s="15" t="str"/>
    </x:row>
    <x:row r="39">
      <x:c r="A39" s="15" t="str">
        <x:v>TC_E2E_002</x:v>
      </x:c>
      <x:c r="B39" s="15" t="str">
        <x:v>REQ-PAY-004</x:v>
      </x:c>
      <x:c r="C39" s="15" t="str">
        <x:v>TS_E2E_003</x:v>
      </x:c>
      <x:c r="D39" s="15" t="str">
        <x:v>End-to-End</x:v>
      </x:c>
      <x:c r="E39" s="15" t="str">
        <x:v>Verify payment retry after timeout does not create duplicate charge or booking</x:v>
      </x:c>
      <x:c r="F39" s="15" t="str">
        <x:v>Scenario can be simulated safely or maintained as a design-level case.</x:v>
      </x:c>
      <x:c r="G39" s="15" t="str">
        <x:v>Payment timeout followed by retry</x:v>
      </x:c>
      <x:c r="H39" s="15" t="str">
        <x:v>1. Initiate payment
2. Simulate/observe timeout
3. Retry same transaction
4. Inspect payment and booking outcomes</x:v>
      </x:c>
      <x:c r="I39" s="15" t="str">
        <x:v>Retry should be idempotent or otherwise safely handled so that duplicate charges/bookings are not created.</x:v>
      </x:c>
      <x:c r="J39" s="15" t="str">
        <x:v>Critical</x:v>
      </x:c>
      <x:c r="K39" s="15" t="str">
        <x:v>Risk-Based</x:v>
      </x:c>
      <x:c r="L39" s="15" t="str">
        <x:v>Not Executed</x:v>
      </x:c>
      <x:c r="M39" s="15" t="str"/>
      <x:c r="N39" s="15" t="str"/>
      <x:c r="O39" s="15" t="str"/>
    </x:row>
    <x:row r="40">
      <x:c r="A40" s="15" t="str">
        <x:v>TC_E2E_003</x:v>
      </x:c>
      <x:c r="B40" s="15" t="str">
        <x:v>REQ-FARE-004</x:v>
      </x:c>
      <x:c r="C40" s="15" t="str">
        <x:v>TS_E2E_004</x:v>
      </x:c>
      <x:c r="D40" s="15" t="str">
        <x:v>End-to-End</x:v>
      </x:c>
      <x:c r="E40" s="15" t="str">
        <x:v>Verify fare consistency across search, review and payment</x:v>
      </x:c>
      <x:c r="F40" s="15" t="str">
        <x:v>Valid booking flow is available.</x:v>
      </x:c>
      <x:c r="G40" s="15" t="str">
        <x:v>Known selected fare</x:v>
      </x:c>
      <x:c r="H40" s="15" t="str">
        <x:v>1. Note fare at selection
2. Continue to review
3. Note final payable amount
4. Compare before payment</x:v>
      </x:c>
      <x:c r="I40" s="15" t="str">
        <x:v>Fare should remain consistent unless a change is explicitly disclosed and accepted by the user.</x:v>
      </x:c>
      <x:c r="J40" s="15" t="str">
        <x:v>High</x:v>
      </x:c>
      <x:c r="K40" s="15" t="str">
        <x:v>Regression</x:v>
      </x:c>
      <x:c r="L40" s="15" t="str">
        <x:v>Not Executed</x:v>
      </x:c>
      <x:c r="M40" s="15" t="str"/>
      <x:c r="N40" s="15" t="str"/>
      <x:c r="O40" s="15" t="str"/>
    </x:row>
  </x:sheetData>
  <x:conditionalFormatting sqref="L2:L40">
    <x:cfRule type="expression" dxfId="0" priority="1">
      <x:formula>L2="Passed"</x:formula>
    </x:cfRule>
    <x:cfRule type="expression" dxfId="1" priority="2">
      <x:formula>L2="Failed"</x:formula>
    </x:cfRule>
    <x:cfRule type="expression" dxfId="2" priority="3">
      <x:formula>L2="Blocked"</x:formula>
    </x:cfRule>
  </x:conditionalFormatting>
  <x:conditionalFormatting sqref="J2:J40">
    <x:cfRule type="expression" dxfId="3" priority="4">
      <x:formula>J2="Critical"</x:formula>
    </x:cfRule>
  </x:conditionalFormatting>
  <x:dataValidations count="3">
    <x:dataValidation type="list" sqref="J2:J40">
      <x:formula1>"Critical,High,Medium,Low"</x:formula1>
    </x:dataValidation>
    <x:dataValidation type="list" sqref="L2:L40">
      <x:formula1>"Not Executed,Passed,Failed,Blocked,Not Applicable"</x:formula1>
    </x:dataValidation>
    <x:dataValidation type="list" sqref="K2:K40">
      <x:formula1>"Positive,Negative,Boundary,Functional,Business Rule,Regression,Risk-Based,Integration,End-to-End"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28daba0a549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20" t="str">
        <x:v>Airline Manual QA - Test Case Coverage Summary</x:v>
      </x:c>
      <x:c r="B1" s="20"/>
      <x:c r="C1" s="20"/>
      <x:c r="D1" s="20"/>
      <x:c r="E1" s="20"/>
      <x:c r="F1" s="20"/>
    </x:row>
    <x:row r="3">
      <x:c r="A3" s="32" t="str">
        <x:v>Metric</x:v>
      </x:c>
      <x:c r="B3" s="32" t="str">
        <x:v>Value</x:v>
      </x:c>
      <x:c r="D3" s="32" t="str">
        <x:v>Module</x:v>
      </x:c>
      <x:c r="E3" s="32" t="str">
        <x:v>Count</x:v>
      </x:c>
      <x:c r="F3" s="32" t="str">
        <x:v>% of Total</x:v>
      </x:c>
    </x:row>
    <x:row r="4">
      <x:c r="A4" s="12" t="str">
        <x:v>Total Test Cases</x:v>
      </x:c>
      <x:c r="B4" s="12" t="n">
        <x:f>COUNTA('Test Cases'!A2:A40)</x:f>
        <x:v>39</x:v>
      </x:c>
      <x:c r="D4" s="12" t="str">
        <x:v>Flight Search</x:v>
      </x:c>
      <x:c r="E4" s="12" t="n">
        <x:f>COUNTIF('Test Cases'!D2:D40,D4)</x:f>
        <x:v>8</x:v>
      </x:c>
      <x:c r="F4" s="34" t="n">
        <x:f>E4/$B$4</x:f>
        <x:v>0.20512820512820512</x:v>
      </x:c>
    </x:row>
    <x:row r="5">
      <x:c r="A5" s="12" t="str">
        <x:v>Critical Priority</x:v>
      </x:c>
      <x:c r="B5" s="12" t="n">
        <x:f>COUNTIF('Test Cases'!J2:J40,"Critical")</x:f>
        <x:v>11</x:v>
      </x:c>
      <x:c r="D5" s="12" t="str">
        <x:v>Fare</x:v>
      </x:c>
      <x:c r="E5" s="12" t="n">
        <x:f>COUNTIF('Test Cases'!D2:D40,D5)</x:f>
        <x:v>5</x:v>
      </x:c>
      <x:c r="F5" s="34" t="n">
        <x:f>E5/$B$4</x:f>
        <x:v>0.1282051282051282</x:v>
      </x:c>
    </x:row>
    <x:row r="6">
      <x:c r="A6" s="12" t="str">
        <x:v>High Priority</x:v>
      </x:c>
      <x:c r="B6" s="12" t="n">
        <x:f>COUNTIF('Test Cases'!J2:J40,"High")</x:f>
        <x:v>24</x:v>
      </x:c>
      <x:c r="D6" s="12" t="str">
        <x:v>Passenger</x:v>
      </x:c>
      <x:c r="E6" s="12" t="n">
        <x:f>COUNTIF('Test Cases'!D2:D40,D6)</x:f>
        <x:v>5</x:v>
      </x:c>
      <x:c r="F6" s="34" t="n">
        <x:f>E6/$B$4</x:f>
        <x:v>0.1282051282051282</x:v>
      </x:c>
    </x:row>
    <x:row r="7">
      <x:c r="A7" s="12" t="str">
        <x:v>Passed</x:v>
      </x:c>
      <x:c r="B7" s="12" t="n">
        <x:f>COUNTIF('Test Cases'!L2:L40,"Passed")</x:f>
        <x:v>0</x:v>
      </x:c>
      <x:c r="D7" s="12" t="str">
        <x:v>Payment</x:v>
      </x:c>
      <x:c r="E7" s="12" t="n">
        <x:f>COUNTIF('Test Cases'!D2:D40,D7)</x:f>
        <x:v>7</x:v>
      </x:c>
      <x:c r="F7" s="34" t="n">
        <x:f>E7/$B$4</x:f>
        <x:v>0.1794871794871795</x:v>
      </x:c>
    </x:row>
    <x:row r="8">
      <x:c r="A8" s="12" t="str">
        <x:v>Failed</x:v>
      </x:c>
      <x:c r="B8" s="12" t="n">
        <x:f>COUNTIF('Test Cases'!L2:L40,"Failed")</x:f>
        <x:v>0</x:v>
      </x:c>
      <x:c r="D8" s="12" t="str">
        <x:v>Booking / PNR</x:v>
      </x:c>
      <x:c r="E8" s="12" t="n">
        <x:f>COUNTIF('Test Cases'!D2:D40,D8)</x:f>
        <x:v>6</x:v>
      </x:c>
      <x:c r="F8" s="34" t="n">
        <x:f>E8/$B$4</x:f>
        <x:v>0.15384615384615385</x:v>
      </x:c>
    </x:row>
    <x:row r="9">
      <x:c r="D9" s="12" t="str">
        <x:v>Cancellation</x:v>
      </x:c>
      <x:c r="E9" s="12" t="n">
        <x:f>COUNTIF('Test Cases'!D2:D40,D9)</x:f>
        <x:v>3</x:v>
      </x:c>
      <x:c r="F9" s="34" t="n">
        <x:f>E9/$B$4</x:f>
        <x:v>0.07692307692307693</x:v>
      </x:c>
    </x:row>
    <x:row r="10">
      <x:c r="D10" s="12" t="str">
        <x:v>Refund</x:v>
      </x:c>
      <x:c r="E10" s="12" t="n">
        <x:f>COUNTIF('Test Cases'!D2:D40,D10)</x:f>
        <x:v>2</x:v>
      </x:c>
      <x:c r="F10" s="34" t="n">
        <x:f>E10/$B$4</x:f>
        <x:v>0.05128205128205128</x:v>
      </x:c>
    </x:row>
    <x:row r="11">
      <x:c r="D11" s="12" t="str">
        <x:v>End-to-End</x:v>
      </x:c>
      <x:c r="E11" s="12" t="n">
        <x:f>COUNTIF('Test Cases'!D2:D40,D11)</x:f>
        <x:v>3</x:v>
      </x:c>
      <x:c r="F11" s="34" t="n">
        <x:f>E11/$B$4</x:f>
        <x:v>0.07692307692307693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14276413695b4226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36" t="str">
        <x:v>Field</x:v>
      </x:c>
      <x:c r="B1" s="36" t="str">
        <x:v>Allowed Values / Notes</x:v>
      </x:c>
    </x:row>
    <x:row r="2">
      <x:c r="A2" s="12" t="str">
        <x:v>Priority</x:v>
      </x:c>
      <x:c r="B2" s="12" t="str">
        <x:v>Critical, High, Medium, Low</x:v>
      </x:c>
    </x:row>
    <x:row r="3">
      <x:c r="A3" s="12" t="str">
        <x:v>Execution Status</x:v>
      </x:c>
      <x:c r="B3" s="12" t="str">
        <x:v>Not Executed, Passed, Failed, Blocked, Not Applicable</x:v>
      </x:c>
    </x:row>
    <x:row r="4">
      <x:c r="A4" s="12" t="str">
        <x:v>Test Type</x:v>
      </x:c>
      <x:c r="B4" s="12" t="str">
        <x:v>Positive, Negative, Boundary, Functional, Business Rule, Regression, Risk-Based, Integration, End-to-End</x:v>
      </x:c>
    </x:row>
    <x:row r="5">
      <x:c r="A5" s="12" t="str">
        <x:v>Execution Note</x:v>
      </x:c>
      <x:c r="B5" s="12" t="str">
        <x:v>All rows start as Not Executed. Update only after real execution.</x:v>
      </x:c>
    </x:row>
    <x:row r="6">
      <x:c r="A6" s="12" t="str">
        <x:v>Evidence</x:v>
      </x:c>
      <x:c r="B6" s="12" t="str">
        <x:v>Add screenshot filename/path only when evidence exists.</x:v>
      </x:c>
    </x:row>
    <x:row r="7">
      <x:c r="A7" s="12" t="str">
        <x:v>Project Basis</x:v>
      </x:c>
      <x:c r="B7" s="12" t="str">
        <x:v>Design is based on the portfolio requirements. Update test data/results based on actual SUT behavior.</x:v>
      </x:c>
    </x:row>
  </x:sheetData>
  <x:pageMargins left="0.7" right="0.7" top="0.75" bottom="0.75" header="0.3" footer="0.3"/>
</x:worksheet>
</file>