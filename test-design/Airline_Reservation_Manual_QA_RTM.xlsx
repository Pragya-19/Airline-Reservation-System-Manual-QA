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e55876f78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48157f2af42f43b8"/>
    <x:sheet xmlns:r="http://schemas.openxmlformats.org/officeDocument/2006/relationships" name="Coverage Summary" sheetId="2" r:id="R1443b5eaf39f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63A6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aa1da18bf48f4" /><Relationship Type="http://schemas.openxmlformats.org/officeDocument/2006/relationships/theme" Target="/xl/theme/theme1.xml" Id="R8ae19c93a74c4195" /><Relationship Type="http://schemas.openxmlformats.org/officeDocument/2006/relationships/sharedStrings" Target="/xl/sharedStrings.xml" Id="Rf63864e35be94de8" /><Relationship Type="http://schemas.openxmlformats.org/officeDocument/2006/relationships/worksheet" Target="/xl/worksheets/sheet1.xml" Id="R48157f2af42f43b8" /><Relationship Type="http://schemas.openxmlformats.org/officeDocument/2006/relationships/worksheet" Target="/xl/worksheets/sheet2.xml" Id="R1443b5eaf39f48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fe2f9b315446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 Coverage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Requirements</c:v>
          </c:tx>
          <c:cat>
            <c:strRef>
              <c:f>'Coverage Summary'!$D$4:$D$10</c:f>
              <c:strCache>
                <c:ptCount val="0"/>
              </c:strCache>
            </c:strRef>
          </c:cat>
          <c:val>
            <c:numRef>
              <c:f>'Coverage Summary'!$E$4:$E$10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Covered/Partial</c:v>
          </c:tx>
          <c:cat>
            <c:strRef>
              <c:f>'Coverage Summary'!$D$4:$D$10</c:f>
              <c:strCache>
                <c:ptCount val="0"/>
              </c:strCache>
            </c:strRef>
          </c:cat>
          <c:val>
            <c:numRef>
              <c:f>'Coverage Summary'!$F$4:$F$10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fe2f9b315446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Table" displayName="RTMTable" ref="A1:I28" headerRowCount="1" totalsRowCount="0" totalsRowShown="0">
  <x:tableColumns count="9">
    <x:tableColumn id="1" name="Requirement ID"/>
    <x:tableColumn id="2" name="Module"/>
    <x:tableColumn id="3" name="Requirement Summary"/>
    <x:tableColumn id="4" name="Scenario ID(s)"/>
    <x:tableColumn id="5" name="Test Case ID(s)"/>
    <x:tableColumn id="6" name="Coverage Status"/>
    <x:tableColumn id="7" name="Execution Status"/>
    <x:tableColumn id="8" name="Defect ID(s)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84bbd1d25148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d89146e475748d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4" hidden="0" customWidth="1"/>
    <x:col min="4" max="4" width="30" hidden="0" customWidth="1"/>
    <x:col min="5" max="5" width="32" hidden="0" customWidth="1"/>
    <x:col min="6" max="6" width="16" hidden="0" customWidth="1"/>
    <x:col min="7" max="7" width="18" hidden="0" customWidth="1"/>
    <x:col min="8" max="8" width="18" hidden="0" customWidth="1"/>
    <x:col min="9" max="9" width="40" hidden="0" customWidth="1"/>
  </x:cols>
  <x:sheetData>
    <x:row r="1">
      <x:c r="A1" s="14" t="str">
        <x:v>Requirement ID</x:v>
      </x:c>
      <x:c r="B1" s="14" t="str">
        <x:v>Module</x:v>
      </x:c>
      <x:c r="C1" s="14" t="str">
        <x:v>Requirement Summary</x:v>
      </x:c>
      <x:c r="D1" s="14" t="str">
        <x:v>Scenario ID(s)</x:v>
      </x:c>
      <x:c r="E1" s="14" t="str">
        <x:v>Test Case ID(s)</x:v>
      </x:c>
      <x:c r="F1" s="14" t="str">
        <x:v>Coverage Status</x:v>
      </x:c>
      <x:c r="G1" s="14" t="str">
        <x:v>Execution Status</x:v>
      </x:c>
      <x:c r="H1" s="14" t="str">
        <x:v>Defect ID(s)</x:v>
      </x:c>
      <x:c r="I1" s="14" t="str">
        <x:v>Notes</x:v>
      </x:c>
    </x:row>
    <x:row r="2">
      <x:c r="A2" s="15" t="str">
        <x:v>REQ-FS-001</x:v>
      </x:c>
      <x:c r="B2" s="15" t="str">
        <x:v>Flight Search</x:v>
      </x:c>
      <x:c r="C2" s="15" t="str">
        <x:v>Allow flight search using valid mandatory criteria</x:v>
      </x:c>
      <x:c r="D2" s="15" t="str">
        <x:v>TS_FS_001</x:v>
      </x:c>
      <x:c r="E2" s="15" t="str">
        <x:v>TC_FS_001</x:v>
      </x:c>
      <x:c r="F2" s="15" t="str">
        <x:v>Covered</x:v>
      </x:c>
      <x:c r="G2" s="15" t="str">
        <x:v>Not Executed</x:v>
      </x:c>
      <x:c r="H2" s="15" t="str"/>
      <x:c r="I2" s="15" t="str"/>
    </x:row>
    <x:row r="3">
      <x:c r="A3" s="15" t="str">
        <x:v>REQ-FS-002</x:v>
      </x:c>
      <x:c r="B3" s="15" t="str">
        <x:v>Flight Search</x:v>
      </x:c>
      <x:c r="C3" s="15" t="str">
        <x:v>Origin and destination are mandatory and cannot be the same</x:v>
      </x:c>
      <x:c r="D3" s="15" t="str">
        <x:v>TS_FS_002, TS_FS_005</x:v>
      </x:c>
      <x:c r="E3" s="15" t="str">
        <x:v>TC_FS_002, TC_FS_005</x:v>
      </x:c>
      <x:c r="F3" s="15" t="str">
        <x:v>Covered</x:v>
      </x:c>
      <x:c r="G3" s="15" t="str">
        <x:v>Not Executed</x:v>
      </x:c>
      <x:c r="H3" s="15" t="str"/>
      <x:c r="I3" s="15" t="str"/>
    </x:row>
    <x:row r="4">
      <x:c r="A4" s="15" t="str">
        <x:v>REQ-FS-003</x:v>
      </x:c>
      <x:c r="B4" s="15" t="str">
        <x:v>Flight Search</x:v>
      </x:c>
      <x:c r="C4" s="15" t="str">
        <x:v>Departure date cannot be earlier than current date</x:v>
      </x:c>
      <x:c r="D4" s="15" t="str">
        <x:v>TS_FS_003</x:v>
      </x:c>
      <x:c r="E4" s="15" t="str">
        <x:v>TC_FS_003</x:v>
      </x:c>
      <x:c r="F4" s="15" t="str">
        <x:v>Covered</x:v>
      </x:c>
      <x:c r="G4" s="15" t="str">
        <x:v>Not Executed</x:v>
      </x:c>
      <x:c r="H4" s="15" t="str"/>
      <x:c r="I4" s="15" t="str"/>
    </x:row>
    <x:row r="5">
      <x:c r="A5" s="15" t="str">
        <x:v>REQ-FS-004</x:v>
      </x:c>
      <x:c r="B5" s="15" t="str">
        <x:v>Flight Search</x:v>
      </x:c>
      <x:c r="C5" s="15" t="str">
        <x:v>Passenger validation including infant/adult rule</x:v>
      </x:c>
      <x:c r="D5" s="15" t="str">
        <x:v>TS_FS_004</x:v>
      </x:c>
      <x:c r="E5" s="15" t="str">
        <x:v>TC_FS_004</x:v>
      </x:c>
      <x:c r="F5" s="15" t="str">
        <x:v>Covered</x:v>
      </x:c>
      <x:c r="G5" s="15" t="str">
        <x:v>Not Executed</x:v>
      </x:c>
      <x:c r="H5" s="15" t="str"/>
      <x:c r="I5" s="15" t="str"/>
    </x:row>
    <x:row r="6">
      <x:c r="A6" s="15" t="str">
        <x:v>REQ-FS-005</x:v>
      </x:c>
      <x:c r="B6" s="15" t="str">
        <x:v>Flight Search</x:v>
      </x:c>
      <x:c r="C6" s="15" t="str">
        <x:v>Search results must match selected criteria</x:v>
      </x:c>
      <x:c r="D6" s="15" t="str">
        <x:v>TS_FS_006, TS_FS_007, TS_FS_008</x:v>
      </x:c>
      <x:c r="E6" s="15" t="str">
        <x:v>TC_FS_006, TC_FS_007, TC_FS_008</x:v>
      </x:c>
      <x:c r="F6" s="15" t="str">
        <x:v>Covered</x:v>
      </x:c>
      <x:c r="G6" s="15" t="str">
        <x:v>Not Executed</x:v>
      </x:c>
      <x:c r="H6" s="15" t="str"/>
      <x:c r="I6" s="15" t="str"/>
    </x:row>
    <x:row r="7">
      <x:c r="A7" s="15" t="str">
        <x:v>REQ-FARE-001</x:v>
      </x:c>
      <x:c r="B7" s="15" t="str">
        <x:v>Fare</x:v>
      </x:c>
      <x:c r="C7" s="15" t="str">
        <x:v>Display applicable fare for selected flight</x:v>
      </x:c>
      <x:c r="D7" s="15" t="str">
        <x:v>TS_FARE_001</x:v>
      </x:c>
      <x:c r="E7" s="15" t="str">
        <x:v>TC_FARE_001</x:v>
      </x:c>
      <x:c r="F7" s="15" t="str">
        <x:v>Covered</x:v>
      </x:c>
      <x:c r="G7" s="15" t="str">
        <x:v>Not Executed</x:v>
      </x:c>
      <x:c r="H7" s="15" t="str"/>
      <x:c r="I7" s="15" t="str"/>
    </x:row>
    <x:row r="8">
      <x:c r="A8" s="15" t="str">
        <x:v>REQ-FARE-002</x:v>
      </x:c>
      <x:c r="B8" s="15" t="str">
        <x:v>Fare</x:v>
      </x:c>
      <x:c r="C8" s="15" t="str">
        <x:v>Calculate total fare using applicable components</x:v>
      </x:c>
      <x:c r="D8" s="15" t="str">
        <x:v>TS_FARE_002</x:v>
      </x:c>
      <x:c r="E8" s="15" t="str">
        <x:v>TC_FARE_002</x:v>
      </x:c>
      <x:c r="F8" s="15" t="str">
        <x:v>Covered</x:v>
      </x:c>
      <x:c r="G8" s="15" t="str">
        <x:v>Not Executed</x:v>
      </x:c>
      <x:c r="H8" s="15" t="str"/>
      <x:c r="I8" s="15" t="str"/>
    </x:row>
    <x:row r="9">
      <x:c r="A9" s="15" t="str">
        <x:v>REQ-FARE-003</x:v>
      </x:c>
      <x:c r="B9" s="15" t="str">
        <x:v>Fare</x:v>
      </x:c>
      <x:c r="C9" s="15" t="str">
        <x:v>Recalculate fare when passenger count/type changes</x:v>
      </x:c>
      <x:c r="D9" s="15" t="str">
        <x:v>TS_FARE_003, TS_FARE_004</x:v>
      </x:c>
      <x:c r="E9" s="15" t="str">
        <x:v>TC_FARE_003</x:v>
      </x:c>
      <x:c r="F9" s="15" t="str">
        <x:v>Covered</x:v>
      </x:c>
      <x:c r="G9" s="15" t="str">
        <x:v>Not Executed</x:v>
      </x:c>
      <x:c r="H9" s="15" t="str"/>
      <x:c r="I9" s="15" t="str">
        <x:v>Type-change coverage remains scenario-level unless supported by SUT.</x:v>
      </x:c>
    </x:row>
    <x:row r="10">
      <x:c r="A10" s="15" t="str">
        <x:v>REQ-FARE-004</x:v>
      </x:c>
      <x:c r="B10" s="15" t="str">
        <x:v>Fare</x:v>
      </x:c>
      <x:c r="C10" s="15" t="str">
        <x:v>Maintain fare consistency or communicate fare change</x:v>
      </x:c>
      <x:c r="D10" s="15" t="str">
        <x:v>TS_FARE_005, TS_FARE_007</x:v>
      </x:c>
      <x:c r="E10" s="15" t="str">
        <x:v>TC_FARE_004, TC_FARE_005, TC_E2E_003</x:v>
      </x:c>
      <x:c r="F10" s="15" t="str">
        <x:v>Covered</x:v>
      </x:c>
      <x:c r="G10" s="15" t="str">
        <x:v>Not Executed</x:v>
      </x:c>
      <x:c r="H10" s="15" t="str"/>
      <x:c r="I10" s="15" t="str"/>
    </x:row>
    <x:row r="11">
      <x:c r="A11" s="15" t="str">
        <x:v>REQ-PAX-001</x:v>
      </x:c>
      <x:c r="B11" s="15" t="str">
        <x:v>Passenger</x:v>
      </x:c>
      <x:c r="C11" s="15" t="str">
        <x:v>Capture mandatory passenger information</x:v>
      </x:c>
      <x:c r="D11" s="15" t="str">
        <x:v>TS_PAX_001, TS_PAX_002</x:v>
      </x:c>
      <x:c r="E11" s="15" t="str">
        <x:v>TC_PAX_001, TC_PAX_002</x:v>
      </x:c>
      <x:c r="F11" s="15" t="str">
        <x:v>Covered</x:v>
      </x:c>
      <x:c r="G11" s="15" t="str">
        <x:v>Not Executed</x:v>
      </x:c>
      <x:c r="H11" s="15" t="str"/>
      <x:c r="I11" s="15" t="str"/>
    </x:row>
    <x:row r="12">
      <x:c r="A12" s="15" t="str">
        <x:v>REQ-PAX-002</x:v>
      </x:c>
      <x:c r="B12" s="15" t="str">
        <x:v>Passenger</x:v>
      </x:c>
      <x:c r="C12" s="15" t="str">
        <x:v>Validate passenger details based on field rules</x:v>
      </x:c>
      <x:c r="D12" s="15" t="str">
        <x:v>TS_PAX_003, TS_PAX_006, TS_PAX_008</x:v>
      </x:c>
      <x:c r="E12" s="15" t="str">
        <x:v>TC_PAX_003</x:v>
      </x:c>
      <x:c r="F12" s="15" t="str">
        <x:v>Partial</x:v>
      </x:c>
      <x:c r="G12" s="15" t="str">
        <x:v>Not Executed</x:v>
      </x:c>
      <x:c r="H12" s="15" t="str"/>
      <x:c r="I12" s="15" t="str">
        <x:v>Boundary case detailed; other field rules remain scenario-level until confirmed on SUT.</x:v>
      </x:c>
    </x:row>
    <x:row r="13">
      <x:c r="A13" s="15" t="str">
        <x:v>REQ-PAX-003</x:v>
      </x:c>
      <x:c r="B13" s="15" t="str">
        <x:v>Passenger</x:v>
      </x:c>
      <x:c r="C13" s="15" t="str">
        <x:v>Handle supported passenger categories correctly</x:v>
      </x:c>
      <x:c r="D13" s="15" t="str">
        <x:v>TS_PAX_005</x:v>
      </x:c>
      <x:c r="E13" s="15" t="str">
        <x:v>TC_PAX_005</x:v>
      </x:c>
      <x:c r="F13" s="15" t="str">
        <x:v>Covered</x:v>
      </x:c>
      <x:c r="G13" s="15" t="str">
        <x:v>Not Executed</x:v>
      </x:c>
      <x:c r="H13" s="15" t="str"/>
      <x:c r="I13" s="15" t="str"/>
    </x:row>
    <x:row r="14">
      <x:c r="A14" s="15" t="str">
        <x:v>REQ-PAX-004</x:v>
      </x:c>
      <x:c r="B14" s="15" t="str">
        <x:v>Passenger</x:v>
      </x:c>
      <x:c r="C14" s="15" t="str">
        <x:v>Handle duplicate passenger information appropriately</x:v>
      </x:c>
      <x:c r="D14" s="15" t="str">
        <x:v>TS_PAX_004</x:v>
      </x:c>
      <x:c r="E14" s="15" t="str">
        <x:v>TC_PAX_004</x:v>
      </x:c>
      <x:c r="F14" s="15" t="str">
        <x:v>Covered</x:v>
      </x:c>
      <x:c r="G14" s="15" t="str">
        <x:v>Not Executed</x:v>
      </x:c>
      <x:c r="H14" s="15" t="str"/>
      <x:c r="I14" s="15" t="str"/>
    </x:row>
    <x:row r="15">
      <x:c r="A15" s="15" t="str">
        <x:v>REQ-PAY-001</x:v>
      </x:c>
      <x:c r="B15" s="15" t="str">
        <x:v>Payment</x:v>
      </x:c>
      <x:c r="C15" s="15" t="str">
        <x:v>Complete payment using supported payment method</x:v>
      </x:c>
      <x:c r="D15" s="15" t="str">
        <x:v>TS_PAY_001</x:v>
      </x:c>
      <x:c r="E15" s="15" t="str">
        <x:v>TC_PAY_001</x:v>
      </x:c>
      <x:c r="F15" s="15" t="str">
        <x:v>Covered</x:v>
      </x:c>
      <x:c r="G15" s="15" t="str">
        <x:v>Not Executed</x:v>
      </x:c>
      <x:c r="H15" s="15" t="str"/>
      <x:c r="I15" s="15" t="str">
        <x:v>Use only sandbox/test-mode payment data.</x:v>
      </x:c>
    </x:row>
    <x:row r="16">
      <x:c r="A16" s="15" t="str">
        <x:v>REQ-PAY-002</x:v>
      </x:c>
      <x:c r="B16" s="15" t="str">
        <x:v>Payment</x:v>
      </x:c>
      <x:c r="C16" s="15" t="str">
        <x:v>Failed payment must not create paid booking</x:v>
      </x:c>
      <x:c r="D16" s="15" t="str">
        <x:v>TS_PAY_002</x:v>
      </x:c>
      <x:c r="E16" s="15" t="str">
        <x:v>TC_PAY_002</x:v>
      </x:c>
      <x:c r="F16" s="15" t="str">
        <x:v>Covered</x:v>
      </x:c>
      <x:c r="G16" s="15" t="str">
        <x:v>Not Executed</x:v>
      </x:c>
      <x:c r="H16" s="15" t="str"/>
      <x:c r="I16" s="15" t="str"/>
    </x:row>
    <x:row r="17">
      <x:c r="A17" s="15" t="str">
        <x:v>REQ-PAY-003</x:v>
      </x:c>
      <x:c r="B17" s="15" t="str">
        <x:v>Payment</x:v>
      </x:c>
      <x:c r="C17" s="15" t="str">
        <x:v>Prevent duplicate payment/booking on repeated submission</x:v>
      </x:c>
      <x:c r="D17" s="15" t="str">
        <x:v>TS_PAY_003, TS_PAY_004</x:v>
      </x:c>
      <x:c r="E17" s="15" t="str">
        <x:v>TC_PAY_003, TC_PAY_004</x:v>
      </x:c>
      <x:c r="F17" s="15" t="str">
        <x:v>Covered</x:v>
      </x:c>
      <x:c r="G17" s="15" t="str">
        <x:v>Not Executed</x:v>
      </x:c>
      <x:c r="H17" s="15" t="str"/>
      <x:c r="I17" s="15" t="str"/>
    </x:row>
    <x:row r="18">
      <x:c r="A18" s="15" t="str">
        <x:v>REQ-PAY-004</x:v>
      </x:c>
      <x:c r="B18" s="15" t="str">
        <x:v>Payment</x:v>
      </x:c>
      <x:c r="C18" s="15" t="str">
        <x:v>Handle payment timeout safely</x:v>
      </x:c>
      <x:c r="D18" s="15" t="str">
        <x:v>TS_PAY_005, TS_PAY_010, TS_E2E_003</x:v>
      </x:c>
      <x:c r="E18" s="15" t="str">
        <x:v>TC_PAY_005, TC_E2E_002</x:v>
      </x:c>
      <x:c r="F18" s="15" t="str">
        <x:v>Covered</x:v>
      </x:c>
      <x:c r="G18" s="15" t="str">
        <x:v>Not Executed</x:v>
      </x:c>
      <x:c r="H18" s="15" t="str"/>
      <x:c r="I18" s="15" t="str">
        <x:v>May be design-level if timeout cannot be safely reproduced.</x:v>
      </x:c>
    </x:row>
    <x:row r="19">
      <x:c r="A19" s="15" t="str">
        <x:v>REQ-PAY-005</x:v>
      </x:c>
      <x:c r="B19" s="15" t="str">
        <x:v>Payment</x:v>
      </x:c>
      <x:c r="C19" s="15" t="str">
        <x:v>Charged amount must match final payable amount</x:v>
      </x:c>
      <x:c r="D19" s="15" t="str">
        <x:v>TS_PAY_006</x:v>
      </x:c>
      <x:c r="E19" s="15" t="str">
        <x:v>TC_PAY_006</x:v>
      </x:c>
      <x:c r="F19" s="15" t="str">
        <x:v>Covered</x:v>
      </x:c>
      <x:c r="G19" s="15" t="str">
        <x:v>Not Executed</x:v>
      </x:c>
      <x:c r="H19" s="15" t="str"/>
      <x:c r="I19" s="15" t="str"/>
    </x:row>
    <x:row r="20">
      <x:c r="A20" s="15" t="str">
        <x:v>REQ-PNR-001</x:v>
      </x:c>
      <x:c r="B20" s="15" t="str">
        <x:v>Booking / PNR</x:v>
      </x:c>
      <x:c r="C20" s="15" t="str">
        <x:v>Successful booking creates valid booking record</x:v>
      </x:c>
      <x:c r="D20" s="15" t="str">
        <x:v>TS_PNR_001</x:v>
      </x:c>
      <x:c r="E20" s="15" t="str">
        <x:v>TC_PNR_001</x:v>
      </x:c>
      <x:c r="F20" s="15" t="str">
        <x:v>Covered</x:v>
      </x:c>
      <x:c r="G20" s="15" t="str">
        <x:v>Not Executed</x:v>
      </x:c>
      <x:c r="H20" s="15" t="str"/>
      <x:c r="I20" s="15" t="str"/>
    </x:row>
    <x:row r="21">
      <x:c r="A21" s="15" t="str">
        <x:v>REQ-PNR-002</x:v>
      </x:c>
      <x:c r="B21" s="15" t="str">
        <x:v>Booking / PNR</x:v>
      </x:c>
      <x:c r="C21" s="15" t="str">
        <x:v>Successful booking generates non-null/non-empty PNR</x:v>
      </x:c>
      <x:c r="D21" s="15" t="str">
        <x:v>TS_PNR_002</x:v>
      </x:c>
      <x:c r="E21" s="15" t="str">
        <x:v>TC_PNR_002, TC_E2E_001</x:v>
      </x:c>
      <x:c r="F21" s="15" t="str">
        <x:v>Covered</x:v>
      </x:c>
      <x:c r="G21" s="15" t="str">
        <x:v>Not Executed</x:v>
      </x:c>
      <x:c r="H21" s="15" t="str"/>
      <x:c r="I21" s="15" t="str"/>
    </x:row>
    <x:row r="22">
      <x:c r="A22" s="15" t="str">
        <x:v>REQ-PNR-003</x:v>
      </x:c>
      <x:c r="B22" s="15" t="str">
        <x:v>Booking / PNR</x:v>
      </x:c>
      <x:c r="C22" s="15" t="str">
        <x:v>Booking stores correct passenger, itinerary, fare and payment data</x:v>
      </x:c>
      <x:c r="D22" s="15" t="str">
        <x:v>TS_PNR_003, TS_PNR_004, TS_PNR_005, TS_PNR_006</x:v>
      </x:c>
      <x:c r="E22" s="15" t="str">
        <x:v>TC_PNR_003, TC_PNR_004, TC_PNR_005</x:v>
      </x:c>
      <x:c r="F22" s="15" t="str">
        <x:v>Partial</x:v>
      </x:c>
      <x:c r="G22" s="15" t="str">
        <x:v>Not Executed</x:v>
      </x:c>
      <x:c r="H22" s="15" t="str"/>
      <x:c r="I22" s="15" t="str">
        <x:v>Payment-status validation remains scenario-level until a dedicated case is added.</x:v>
      </x:c>
    </x:row>
    <x:row r="23">
      <x:c r="A23" s="15" t="str">
        <x:v>REQ-PNR-004</x:v>
      </x:c>
      <x:c r="B23" s="15" t="str">
        <x:v>Booking / PNR</x:v>
      </x:c>
      <x:c r="C23" s="15" t="str">
        <x:v>Retrieve booking using supported booking reference/PNR</x:v>
      </x:c>
      <x:c r="D23" s="15" t="str">
        <x:v>TS_PNR_007</x:v>
      </x:c>
      <x:c r="E23" s="15" t="str">
        <x:v>TC_PNR_006</x:v>
      </x:c>
      <x:c r="F23" s="15" t="str">
        <x:v>Covered</x:v>
      </x:c>
      <x:c r="G23" s="15" t="str">
        <x:v>Not Executed</x:v>
      </x:c>
      <x:c r="H23" s="15" t="str"/>
      <x:c r="I23" s="15" t="str"/>
    </x:row>
    <x:row r="24">
      <x:c r="A24" s="15" t="str">
        <x:v>REQ-PNR-005</x:v>
      </x:c>
      <x:c r="B24" s="15" t="str">
        <x:v>Booking / PNR</x:v>
      </x:c>
      <x:c r="C24" s="15" t="str">
        <x:v>Safely recover when payment succeeds but booking/PNR generation fails</x:v>
      </x:c>
      <x:c r="D24" s="15" t="str">
        <x:v>TS_PNR_010, TS_PAY_009, TS_E2E_002</x:v>
      </x:c>
      <x:c r="E24" s="15" t="str">
        <x:v>TC_PAY_007</x:v>
      </x:c>
      <x:c r="F24" s="15" t="str">
        <x:v>Covered</x:v>
      </x:c>
      <x:c r="G24" s="15" t="str">
        <x:v>Not Executed</x:v>
      </x:c>
      <x:c r="H24" s="15" t="str"/>
      <x:c r="I24" s="15" t="str">
        <x:v>Cross-functional case mapped to both payment and PNR failure handling.</x:v>
      </x:c>
    </x:row>
    <x:row r="25">
      <x:c r="A25" s="15" t="str">
        <x:v>REQ-CAN-001</x:v>
      </x:c>
      <x:c r="B25" s="15" t="str">
        <x:v>Cancellation</x:v>
      </x:c>
      <x:c r="C25" s="15" t="str">
        <x:v>Eligible confirmed booking supports cancellation</x:v>
      </x:c>
      <x:c r="D25" s="15" t="str">
        <x:v>TS_CAN_001, TS_CAN_003</x:v>
      </x:c>
      <x:c r="E25" s="15" t="str">
        <x:v>TC_CAN_001, TC_CAN_003</x:v>
      </x:c>
      <x:c r="F25" s="15" t="str">
        <x:v>Covered</x:v>
      </x:c>
      <x:c r="G25" s="15" t="str">
        <x:v>Not Executed</x:v>
      </x:c>
      <x:c r="H25" s="15" t="str"/>
      <x:c r="I25" s="15" t="str"/>
    </x:row>
    <x:row r="26">
      <x:c r="A26" s="15" t="str">
        <x:v>REQ-CAN-002</x:v>
      </x:c>
      <x:c r="B26" s="15" t="str">
        <x:v>Cancellation</x:v>
      </x:c>
      <x:c r="C26" s="15" t="str">
        <x:v>Booking status updates after successful cancellation</x:v>
      </x:c>
      <x:c r="D26" s="15" t="str">
        <x:v>TS_CAN_002</x:v>
      </x:c>
      <x:c r="E26" s="15" t="str">
        <x:v>TC_CAN_002</x:v>
      </x:c>
      <x:c r="F26" s="15" t="str">
        <x:v>Covered</x:v>
      </x:c>
      <x:c r="G26" s="15" t="str">
        <x:v>Not Executed</x:v>
      </x:c>
      <x:c r="H26" s="15" t="str"/>
      <x:c r="I26" s="15" t="str"/>
    </x:row>
    <x:row r="27">
      <x:c r="A27" s="15" t="str">
        <x:v>REQ-REF-001</x:v>
      </x:c>
      <x:c r="B27" s="15" t="str">
        <x:v>Refund</x:v>
      </x:c>
      <x:c r="C27" s="15" t="str">
        <x:v>Eligible cancelled booking initiates refund and correct amount is calculated</x:v>
      </x:c>
      <x:c r="D27" s="15" t="str">
        <x:v>TS_REF_001, TS_REF_002</x:v>
      </x:c>
      <x:c r="E27" s="15" t="str">
        <x:v>TC_REF_001, TC_REF_002</x:v>
      </x:c>
      <x:c r="F27" s="15" t="str">
        <x:v>Covered</x:v>
      </x:c>
      <x:c r="G27" s="15" t="str">
        <x:v>Not Executed</x:v>
      </x:c>
      <x:c r="H27" s="15" t="str"/>
      <x:c r="I27" s="15" t="str"/>
    </x:row>
    <x:row r="28">
      <x:c r="A28" s="15" t="str">
        <x:v>REQ-REF-002</x:v>
      </x:c>
      <x:c r="B28" s="15" t="str">
        <x:v>Refund</x:v>
      </x:c>
      <x:c r="C28" s="15" t="str">
        <x:v>Maintain appropriate refund status throughout processing</x:v>
      </x:c>
      <x:c r="D28" s="15" t="str">
        <x:v>TS_REF_003, TS_REF_004, TS_REF_005, TS_REF_006</x:v>
      </x:c>
      <x:c r="E28" s="15" t="str"/>
      <x:c r="F28" s="15" t="str">
        <x:v>Gap</x:v>
      </x:c>
      <x:c r="G28" s="15" t="str">
        <x:v>Not Executed</x:v>
      </x:c>
      <x:c r="H28" s="15" t="str"/>
      <x:c r="I28" s="15" t="str">
        <x:v>Add a dedicated detailed refund-status test case before project freeze.</x:v>
      </x:c>
    </x:row>
  </x:sheetData>
  <x:conditionalFormatting sqref="F2:F28">
    <x:cfRule type="expression" dxfId="0" priority="1">
      <x:formula>F2="Covered"</x:formula>
    </x:cfRule>
    <x:cfRule type="expression" dxfId="1" priority="2">
      <x:formula>F2="Partial"</x:formula>
    </x:cfRule>
    <x:cfRule type="expression" dxfId="2" priority="3">
      <x:formula>F2="Gap"</x:formula>
    </x:cfRule>
  </x:conditionalFormatting>
  <x:dataValidations count="2">
    <x:dataValidation type="list" sqref="F2:F28">
      <x:formula1>"Covered,Partial,Gap"</x:formula1>
    </x:dataValidation>
    <x:dataValidation type="list" sqref="G2:G28">
      <x:formula1>"Not Executed,Passed,Failed,Blocked,Not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84bbd1d25148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20" t="str">
        <x:v>Airline Manual QA - RTM Coverage Summary</x:v>
      </x:c>
      <x:c r="B1" s="20"/>
      <x:c r="C1" s="20"/>
      <x:c r="D1" s="20"/>
      <x:c r="E1" s="20"/>
      <x:c r="F1" s="20"/>
    </x:row>
    <x:row r="3">
      <x:c r="A3" s="32" t="str">
        <x:v>Metric</x:v>
      </x:c>
      <x:c r="B3" s="32" t="str">
        <x:v>Value</x:v>
      </x:c>
      <x:c r="C3" s="12"/>
      <x:c r="D3" s="32" t="str">
        <x:v>Module</x:v>
      </x:c>
      <x:c r="E3" s="32" t="str">
        <x:v>Requirements</x:v>
      </x:c>
      <x:c r="F3" s="32" t="str">
        <x:v>Covered/Partial</x:v>
      </x:c>
    </x:row>
    <x:row r="4">
      <x:c r="A4" s="12" t="str">
        <x:v>Total Requirements</x:v>
      </x:c>
      <x:c r="B4" s="12" t="n">
        <x:f>COUNTA(RTM!A2:A28)</x:f>
        <x:v>27</x:v>
      </x:c>
      <x:c r="C4" s="12"/>
      <x:c r="D4" s="12" t="str">
        <x:v>Flight Search</x:v>
      </x:c>
      <x:c r="E4" s="12" t="n">
        <x:f>COUNTIF(RTM!B2:B28,D4)</x:f>
        <x:v>5</x:v>
      </x:c>
      <x:c r="F4" s="12" t="n">
        <x:f>COUNTIFS(RTM!B2:B28,D4,RTM!F2:F28,"&lt;&gt;Gap")</x:f>
        <x:v>5</x:v>
      </x:c>
    </x:row>
    <x:row r="5">
      <x:c r="A5" s="12" t="str">
        <x:v>Covered</x:v>
      </x:c>
      <x:c r="B5" s="12" t="n">
        <x:f>COUNTIF(RTM!F2:F28,"Covered")</x:f>
        <x:v>24</x:v>
      </x:c>
      <x:c r="C5" s="12"/>
      <x:c r="D5" s="12" t="str">
        <x:v>Fare</x:v>
      </x:c>
      <x:c r="E5" s="12" t="n">
        <x:f>COUNTIF(RTM!B2:B28,D5)</x:f>
        <x:v>4</x:v>
      </x:c>
      <x:c r="F5" s="12" t="n">
        <x:f>COUNTIFS(RTM!B2:B28,D5,RTM!F2:F28,"&lt;&gt;Gap")</x:f>
        <x:v>4</x:v>
      </x:c>
    </x:row>
    <x:row r="6">
      <x:c r="A6" s="12" t="str">
        <x:v>Partial</x:v>
      </x:c>
      <x:c r="B6" s="12" t="n">
        <x:f>COUNTIF(RTM!F2:F28,"Partial")</x:f>
        <x:v>2</x:v>
      </x:c>
      <x:c r="C6" s="12"/>
      <x:c r="D6" s="12" t="str">
        <x:v>Passenger</x:v>
      </x:c>
      <x:c r="E6" s="12" t="n">
        <x:f>COUNTIF(RTM!B2:B28,D6)</x:f>
        <x:v>4</x:v>
      </x:c>
      <x:c r="F6" s="12" t="n">
        <x:f>COUNTIFS(RTM!B2:B28,D6,RTM!F2:F28,"&lt;&gt;Gap")</x:f>
        <x:v>4</x:v>
      </x:c>
    </x:row>
    <x:row r="7">
      <x:c r="A7" s="12" t="str">
        <x:v>Gap</x:v>
      </x:c>
      <x:c r="B7" s="12" t="n">
        <x:f>COUNTIF(RTM!F2:F28,"Gap")</x:f>
        <x:v>1</x:v>
      </x:c>
      <x:c r="C7" s="12"/>
      <x:c r="D7" s="12" t="str">
        <x:v>Payment</x:v>
      </x:c>
      <x:c r="E7" s="12" t="n">
        <x:f>COUNTIF(RTM!B2:B28,D7)</x:f>
        <x:v>5</x:v>
      </x:c>
      <x:c r="F7" s="12" t="n">
        <x:f>COUNTIFS(RTM!B2:B28,D7,RTM!F2:F28,"&lt;&gt;Gap")</x:f>
        <x:v>5</x:v>
      </x:c>
    </x:row>
    <x:row r="8">
      <x:c r="A8" s="12" t="str">
        <x:v>Coverage % (Covered + Partial)</x:v>
      </x:c>
      <x:c r="B8" s="33" t="n">
        <x:f>(B5+B6)/B4</x:f>
        <x:v>0.9629629629629629</x:v>
      </x:c>
      <x:c r="C8" s="12"/>
      <x:c r="D8" s="12" t="str">
        <x:v>Booking / PNR</x:v>
      </x:c>
      <x:c r="E8" s="12" t="n">
        <x:f>COUNTIF(RTM!B2:B28,D8)</x:f>
        <x:v>5</x:v>
      </x:c>
      <x:c r="F8" s="12" t="n">
        <x:f>COUNTIFS(RTM!B2:B28,D8,RTM!F2:F28,"&lt;&gt;Gap")</x:f>
        <x:v>5</x:v>
      </x:c>
    </x:row>
    <x:row r="9">
      <x:c r="A9" s="12"/>
      <x:c r="B9" s="12"/>
      <x:c r="C9" s="12"/>
      <x:c r="D9" s="12" t="str">
        <x:v>Cancellation</x:v>
      </x:c>
      <x:c r="E9" s="12" t="n">
        <x:f>COUNTIF(RTM!B2:B28,D9)</x:f>
        <x:v>2</x:v>
      </x:c>
      <x:c r="F9" s="12" t="n">
        <x:f>COUNTIFS(RTM!B2:B28,D9,RTM!F2:F28,"&lt;&gt;Gap")</x:f>
        <x:v>2</x:v>
      </x:c>
    </x:row>
    <x:row r="10">
      <x:c r="A10" s="12"/>
      <x:c r="B10" s="12"/>
      <x:c r="C10" s="12"/>
      <x:c r="D10" s="12" t="str">
        <x:v>Refund</x:v>
      </x:c>
      <x:c r="E10" s="12" t="n">
        <x:f>COUNTIF(RTM!B2:B28,D10)</x:f>
        <x:v>2</x:v>
      </x:c>
      <x:c r="F10" s="12" t="n">
        <x:f>COUNTIFS(RTM!B2:B28,D10,RTM!F2:F28,"&lt;&gt;Gap")</x:f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d89146e475748d0"/>
</x:worksheet>
</file>