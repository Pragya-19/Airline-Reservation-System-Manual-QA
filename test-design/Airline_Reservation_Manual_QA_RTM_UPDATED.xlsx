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04" yWindow="588" windowWidth="22716" windowHeight="8676"/>
  </bookViews>
  <sheets>
    <sheet name="RTM" sheetId="1" r:id="rId1"/>
    <sheet name="Coverage Summary" sheetId="2" r:id="rId2"/>
  </sheets>
  <calcPr calcId="125725"/>
</workbook>
</file>

<file path=xl/calcChain.xml><?xml version="1.0" encoding="utf-8"?>
<calcChain xmlns="http://schemas.openxmlformats.org/spreadsheetml/2006/main">
  <c r="F10" i="2"/>
  <c r="E10"/>
  <c r="I9"/>
  <c r="F9"/>
  <c r="E9"/>
  <c r="F8"/>
  <c r="E8"/>
  <c r="B8"/>
  <c r="I7"/>
  <c r="F7"/>
  <c r="E7"/>
  <c r="B7"/>
  <c r="I6"/>
  <c r="F6"/>
  <c r="E6"/>
  <c r="B6"/>
  <c r="I5"/>
  <c r="F5"/>
  <c r="E5"/>
  <c r="B5"/>
  <c r="I4"/>
  <c r="F4"/>
  <c r="E4"/>
  <c r="B4"/>
</calcChain>
</file>

<file path=xl/sharedStrings.xml><?xml version="1.0" encoding="utf-8"?>
<sst xmlns="http://schemas.openxmlformats.org/spreadsheetml/2006/main" count="256" uniqueCount="172">
  <si>
    <t>Requirement ID</t>
  </si>
  <si>
    <t>Module</t>
  </si>
  <si>
    <t>Requirement Summary</t>
  </si>
  <si>
    <t>Scenario ID(s)</t>
  </si>
  <si>
    <t>Test Case ID(s)</t>
  </si>
  <si>
    <t>Coverage Status</t>
  </si>
  <si>
    <t>Execution Status</t>
  </si>
  <si>
    <t>Defect ID(s)</t>
  </si>
  <si>
    <t>Notes</t>
  </si>
  <si>
    <t>REQ-FS-001</t>
  </si>
  <si>
    <t>Flight Search</t>
  </si>
  <si>
    <t>Allow flight search using valid mandatory criteria</t>
  </si>
  <si>
    <t>TS_FS_001</t>
  </si>
  <si>
    <t>TC_FS_001</t>
  </si>
  <si>
    <t>Covered</t>
  </si>
  <si>
    <t>REQ-FS-002</t>
  </si>
  <si>
    <t>Origin and destination are mandatory and cannot be the same</t>
  </si>
  <si>
    <t>TS_FS_002, TS_FS_005</t>
  </si>
  <si>
    <t>TC_FS_002, TC_FS_005</t>
  </si>
  <si>
    <t>REQ-FS-003</t>
  </si>
  <si>
    <t>Departure date cannot be earlier than current date</t>
  </si>
  <si>
    <t>TS_FS_003</t>
  </si>
  <si>
    <t>TC_FS_003</t>
  </si>
  <si>
    <t>REQ-FS-004</t>
  </si>
  <si>
    <t>Passenger validation including infant/adult rule</t>
  </si>
  <si>
    <t>TS_FS_004</t>
  </si>
  <si>
    <t>TC_FS_004</t>
  </si>
  <si>
    <t>REQ-FS-005</t>
  </si>
  <si>
    <t>Search results must match selected criteria</t>
  </si>
  <si>
    <t>TS_FS_006, TS_FS_007, TS_FS_008</t>
  </si>
  <si>
    <t>TC_FS_006, TC_FS_007, TC_FS_008</t>
  </si>
  <si>
    <t>REQ-FARE-001</t>
  </si>
  <si>
    <t>Fare</t>
  </si>
  <si>
    <t>Display applicable fare for selected flight</t>
  </si>
  <si>
    <t>TS_FARE_001</t>
  </si>
  <si>
    <t>TC_FARE_001</t>
  </si>
  <si>
    <t>REQ-FARE-002</t>
  </si>
  <si>
    <t>Calculate total fare using applicable components</t>
  </si>
  <si>
    <t>TS_FARE_002</t>
  </si>
  <si>
    <t>TC_FARE_002</t>
  </si>
  <si>
    <t>REQ-FARE-003</t>
  </si>
  <si>
    <t>Recalculate fare when passenger count/type changes</t>
  </si>
  <si>
    <t>TS_FARE_003, TS_FARE_004</t>
  </si>
  <si>
    <t>TC_FARE_003</t>
  </si>
  <si>
    <t>REQ-FARE-004</t>
  </si>
  <si>
    <t>Maintain fare consistency or communicate fare change</t>
  </si>
  <si>
    <t>TS_FARE_005, TS_FARE_007</t>
  </si>
  <si>
    <t>TC_FARE_004, TC_FARE_005, TC_E2E_003</t>
  </si>
  <si>
    <t>REQ-PAX-001</t>
  </si>
  <si>
    <t>Passenger</t>
  </si>
  <si>
    <t>Capture mandatory passenger information</t>
  </si>
  <si>
    <t>TS_PAX_001, TS_PAX_002</t>
  </si>
  <si>
    <t>TC_PAX_001, TC_PAX_002</t>
  </si>
  <si>
    <t>REQ-PAX-002</t>
  </si>
  <si>
    <t>Validate passenger details based on field rules</t>
  </si>
  <si>
    <t>TS_PAX_003, TS_PAX_006, TS_PAX_008</t>
  </si>
  <si>
    <t>TC_PAX_003</t>
  </si>
  <si>
    <t>Partial</t>
  </si>
  <si>
    <t>REQ-PAX-003</t>
  </si>
  <si>
    <t>Handle supported passenger categories correctly</t>
  </si>
  <si>
    <t>TS_PAX_005</t>
  </si>
  <si>
    <t>TC_PAX_005</t>
  </si>
  <si>
    <t>REQ-PAX-004</t>
  </si>
  <si>
    <t>Handle duplicate passenger information appropriately</t>
  </si>
  <si>
    <t>TS_PAX_004</t>
  </si>
  <si>
    <t>TC_PAX_004</t>
  </si>
  <si>
    <t>REQ-PAY-001</t>
  </si>
  <si>
    <t>Payment</t>
  </si>
  <si>
    <t>Complete payment using supported payment method</t>
  </si>
  <si>
    <t>TS_PAY_001</t>
  </si>
  <si>
    <t>TC_PAY_001</t>
  </si>
  <si>
    <t>REQ-PAY-002</t>
  </si>
  <si>
    <t>Failed payment must not create paid booking</t>
  </si>
  <si>
    <t>TS_PAY_002</t>
  </si>
  <si>
    <t>TC_PAY_002</t>
  </si>
  <si>
    <t>REQ-PAY-003</t>
  </si>
  <si>
    <t>Prevent duplicate payment/booking on repeated submission</t>
  </si>
  <si>
    <t>TS_PAY_003, TS_PAY_004</t>
  </si>
  <si>
    <t>TC_PAY_003, TC_PAY_004</t>
  </si>
  <si>
    <t>REQ-PAY-004</t>
  </si>
  <si>
    <t>Handle payment timeout safely</t>
  </si>
  <si>
    <t>TS_PAY_005, TS_PAY_010, TS_E2E_003</t>
  </si>
  <si>
    <t>TC_PAY_005, TC_E2E_002</t>
  </si>
  <si>
    <t>REQ-PAY-005</t>
  </si>
  <si>
    <t>Charged amount must match final payable amount</t>
  </si>
  <si>
    <t>TS_PAY_006</t>
  </si>
  <si>
    <t>TC_PAY_006</t>
  </si>
  <si>
    <t>REQ-PNR-001</t>
  </si>
  <si>
    <t>Booking / PNR</t>
  </si>
  <si>
    <t>Successful booking creates valid booking record</t>
  </si>
  <si>
    <t>TS_PNR_001</t>
  </si>
  <si>
    <t>TC_PNR_001</t>
  </si>
  <si>
    <t>REQ-PNR-002</t>
  </si>
  <si>
    <t>Successful booking generates non-null/non-empty PNR</t>
  </si>
  <si>
    <t>TS_PNR_002</t>
  </si>
  <si>
    <t>TC_PNR_002, TC_E2E_001</t>
  </si>
  <si>
    <t>REQ-PNR-003</t>
  </si>
  <si>
    <t>Booking stores correct passenger, itinerary, fare and payment data</t>
  </si>
  <si>
    <t>TS_PNR_003, TS_PNR_004, TS_PNR_005, TS_PNR_006</t>
  </si>
  <si>
    <t>TC_PNR_003, TC_PNR_004, TC_PNR_005</t>
  </si>
  <si>
    <t>REQ-PNR-004</t>
  </si>
  <si>
    <t>Retrieve booking using supported booking reference/PNR</t>
  </si>
  <si>
    <t>TS_PNR_007</t>
  </si>
  <si>
    <t>TC_PNR_006</t>
  </si>
  <si>
    <t>REQ-PNR-005</t>
  </si>
  <si>
    <t>Safely recover when payment succeeds but booking/PNR generation fails</t>
  </si>
  <si>
    <t>TS_PNR_010, TS_PAY_009, TS_E2E_002</t>
  </si>
  <si>
    <t>TC_PAY_007</t>
  </si>
  <si>
    <t>REQ-CAN-001</t>
  </si>
  <si>
    <t>Cancellation</t>
  </si>
  <si>
    <t>Eligible confirmed booking supports cancellation</t>
  </si>
  <si>
    <t>TS_CAN_001, TS_CAN_003</t>
  </si>
  <si>
    <t>TC_CAN_001, TC_CAN_003</t>
  </si>
  <si>
    <t>REQ-CAN-002</t>
  </si>
  <si>
    <t>Booking status updates after successful cancellation</t>
  </si>
  <si>
    <t>TS_CAN_002</t>
  </si>
  <si>
    <t>TC_CAN_002</t>
  </si>
  <si>
    <t>REQ-REF-001</t>
  </si>
  <si>
    <t>Refund</t>
  </si>
  <si>
    <t>Eligible cancelled booking initiates refund and correct amount is calculated</t>
  </si>
  <si>
    <t>TS_REF_001, TS_REF_002</t>
  </si>
  <si>
    <t>TC_REF_001, TC_REF_002</t>
  </si>
  <si>
    <t>REQ-REF-002</t>
  </si>
  <si>
    <t>Maintain appropriate refund status throughout processing</t>
  </si>
  <si>
    <t>TS_REF_003, TS_REF_004, TS_REF_005, TS_REF_006</t>
  </si>
  <si>
    <t>Gap</t>
  </si>
  <si>
    <t>Airline Manual QA - RTM Coverage Summary</t>
  </si>
  <si>
    <t>Metric</t>
  </si>
  <si>
    <t>Value</t>
  </si>
  <si>
    <t>Requirements</t>
  </si>
  <si>
    <t>Covered/Partial</t>
  </si>
  <si>
    <t>Total Requirements</t>
  </si>
  <si>
    <t>Coverage % (Covered + Partial)</t>
  </si>
  <si>
    <t>Passed</t>
  </si>
  <si>
    <t>TC_FS_001 passed.</t>
  </si>
  <si>
    <t>Failed</t>
  </si>
  <si>
    <t>DEF-FS-001</t>
  </si>
  <si>
    <t>TC_FS_002 failed; TC_FS_005 passed. Same-origin/destination validation defect remains open/recorded.</t>
  </si>
  <si>
    <t>TC_FS_003 passed.</t>
  </si>
  <si>
    <t>TC_FS_004 passed.</t>
  </si>
  <si>
    <t>TC_FS_006, TC_FS_007 and TC_FS_008 passed.</t>
  </si>
  <si>
    <t>TC_FARE_001 passed.</t>
  </si>
  <si>
    <t>TC_FARE_002 passed.</t>
  </si>
  <si>
    <t>TC_FARE_003 passed. Type-change coverage remains scenario-level unless supported by SUT.</t>
  </si>
  <si>
    <t>TC_FARE_004, TC_FARE_005 and TC_E2E_003 passed.</t>
  </si>
  <si>
    <t>TC_PAX_001 and TC_PAX_002 passed.</t>
  </si>
  <si>
    <t>DEF-PAX-001</t>
  </si>
  <si>
    <t>TC_PAX_003 failed: excessive passenger name was accepted and later silently truncated. Other field rules remain scenario-level.</t>
  </si>
  <si>
    <t>DEF-PAX-002</t>
  </si>
  <si>
    <t>TC_PAX_005 failed for supported passenger-category handling.</t>
  </si>
  <si>
    <t>TC_PAX_004 passed.</t>
  </si>
  <si>
    <t>DEF-PAY-001</t>
  </si>
  <si>
    <t>TC_PAY_001 passed on Stripe Sandbox retest. Earlier gateway-limit error was not reproduced and remains documented under DEF-PAY-001 for investigation.</t>
  </si>
  <si>
    <t>TC_PAY_002 passed: unsuccessful/cancelled payment did not create a paid booking.</t>
  </si>
  <si>
    <t>TC_PAY_003 and TC_PAY_004 passed at UI/booking-record validation level; no duplicate charge or booking observed.</t>
  </si>
  <si>
    <t>Blocked</t>
  </si>
  <si>
    <t>TC_PAY_005 and TC_E2E_002 blocked because a deterministic payment timeout could not be safely reproduced in the demo environment.</t>
  </si>
  <si>
    <t>TC_PAY_006 passed: Stripe transaction amount matched the final payable booking amount. RTM keeps TC_PAY_007 cross-mapped under REQ-PNR-005.</t>
  </si>
  <si>
    <t>TC_PNR_001 passed: a confirmed booking record/reference was created.</t>
  </si>
  <si>
    <t>Not Executed</t>
  </si>
  <si>
    <t>TC_PNR_002 was not executed as a dedicated PNR-generation validation. TC_E2E_001 passed for the booking flow, but supplier PNR generation was not independently confirmed.</t>
  </si>
  <si>
    <t>TC_PNR_003, TC_PNR_004 and TC_PNR_005 passed. Payment-status validation remains scenario-level until a dedicated case is added.</t>
  </si>
  <si>
    <t>TC_PNR_006 passed: booking 80882104 was retrieved through Admin Manage Bookings and matched the expected reservation.</t>
  </si>
  <si>
    <t>TC_PAY_007 retained as a design-level integration scenario. RTM maps it cross-functionally here; the Test Cases sheet lists REQ-PAY-005.</t>
  </si>
  <si>
    <t>DEF-CAN-001</t>
  </si>
  <si>
    <t>TC_CAN_001 failed because cancellation could not complete after a Sabre API/PNR issuance error; TC_CAN_003 passed for an ineligible already-cancelled booking.</t>
  </si>
  <si>
    <t>TC_CAN_002 blocked because the preceding cancellation could not be completed due to DEF-CAN-001.</t>
  </si>
  <si>
    <t>TC_REF_001 blocked by unavailable prerequisite test data; TC_REF_002 passed for refundable amount validation.</t>
  </si>
  <si>
    <t>No dedicated detailed refund-status test case exists. Add one before project freeze.</t>
  </si>
  <si>
    <t>Requirement Execution Summary</t>
  </si>
  <si>
    <t>Count</t>
  </si>
  <si>
    <t>Attempted %</t>
  </si>
</sst>
</file>

<file path=xl/styles.xml><?xml version="1.0" encoding="utf-8"?>
<styleSheet xmlns="http://schemas.openxmlformats.org/spreadsheetml/2006/main">
  <numFmts count="1">
    <numFmt numFmtId="164" formatCode="0.0%"/>
  </numFmts>
  <fonts count="3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B1F3A"/>
      </patternFill>
    </fill>
    <fill>
      <patternFill patternType="solid">
        <fgColor rgb="FF163A63"/>
      </patternFill>
    </fill>
    <fill>
      <patternFill patternType="solid">
        <fgColor rgb="FF0F2741"/>
      </patternFill>
    </fill>
  </fills>
  <borders count="7">
    <border>
      <left/>
      <right/>
      <top/>
      <bottom/>
      <diagonal/>
    </border>
    <border>
      <left style="thin">
        <color rgb="FFB8C6D1"/>
      </left>
      <right style="thin">
        <color rgb="FFD9E2EA"/>
      </right>
      <top style="thin">
        <color rgb="FFB8C6D1"/>
      </top>
      <bottom style="thin">
        <color rgb="FFD9E2EA"/>
      </bottom>
      <diagonal/>
    </border>
    <border>
      <left style="thin">
        <color rgb="FFD9E2EA"/>
      </left>
      <right style="thin">
        <color rgb="FFB8C6D1"/>
      </right>
      <top style="thin">
        <color rgb="FFB8C6D1"/>
      </top>
      <bottom style="thin">
        <color rgb="FFD9E2EA"/>
      </bottom>
      <diagonal/>
    </border>
    <border>
      <left style="thin">
        <color rgb="FFB8C6D1"/>
      </left>
      <right style="thin">
        <color rgb="FFD9E2EA"/>
      </right>
      <top style="thin">
        <color rgb="FFD9E2EA"/>
      </top>
      <bottom style="thin">
        <color rgb="FFD9E2EA"/>
      </bottom>
      <diagonal/>
    </border>
    <border>
      <left style="thin">
        <color rgb="FFD9E2EA"/>
      </left>
      <right style="thin">
        <color rgb="FFB8C6D1"/>
      </right>
      <top style="thin">
        <color rgb="FFD9E2EA"/>
      </top>
      <bottom style="thin">
        <color rgb="FFD9E2EA"/>
      </bottom>
      <diagonal/>
    </border>
    <border>
      <left style="thin">
        <color rgb="FFB8C6D1"/>
      </left>
      <right style="thin">
        <color rgb="FFD9E2EA"/>
      </right>
      <top style="thin">
        <color rgb="FFD9E2EA"/>
      </top>
      <bottom style="thin">
        <color rgb="FFB8C6D1"/>
      </bottom>
      <diagonal/>
    </border>
    <border>
      <left style="thin">
        <color rgb="FFD9E2EA"/>
      </left>
      <right style="thin">
        <color rgb="FFB8C6D1"/>
      </right>
      <top style="thin">
        <color rgb="FFD9E2EA"/>
      </top>
      <bottom style="thin">
        <color rgb="FFB8C6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vertical="top" wrapText="1"/>
    </xf>
    <xf numFmtId="0" fontId="1" fillId="3" borderId="0" xfId="0" applyNumberFormat="1" applyFont="1" applyFill="1" applyBorder="1" applyAlignment="1">
      <alignment horizontal="center" wrapText="1"/>
    </xf>
    <xf numFmtId="9" fontId="0" fillId="0" borderId="0" xfId="0" applyNumberFormat="1" applyFont="1" applyFill="1" applyBorder="1" applyAlignment="1">
      <alignment wrapText="1"/>
    </xf>
    <xf numFmtId="0" fontId="1" fillId="4" borderId="1" xfId="0" applyNumberFormat="1" applyFont="1" applyFill="1" applyBorder="1" applyAlignment="1">
      <alignment horizontal="center" wrapText="1"/>
    </xf>
    <xf numFmtId="0" fontId="1" fillId="4" borderId="2" xfId="0" applyNumberFormat="1" applyFont="1" applyFill="1" applyBorder="1" applyAlignment="1">
      <alignment horizontal="center" wrapText="1"/>
    </xf>
    <xf numFmtId="0" fontId="0" fillId="0" borderId="3" xfId="0" applyNumberFormat="1" applyFont="1" applyFill="1" applyBorder="1" applyAlignment="1">
      <alignment wrapText="1"/>
    </xf>
    <xf numFmtId="0" fontId="0" fillId="0" borderId="4" xfId="0" applyNumberFormat="1" applyFont="1" applyFill="1" applyBorder="1" applyAlignment="1">
      <alignment wrapText="1"/>
    </xf>
    <xf numFmtId="0" fontId="0" fillId="0" borderId="5" xfId="0" applyNumberFormat="1" applyFont="1" applyFill="1" applyBorder="1" applyAlignment="1">
      <alignment wrapText="1"/>
    </xf>
    <xf numFmtId="164" fontId="0" fillId="0" borderId="6" xfId="0" applyNumberFormat="1" applyFont="1" applyFill="1" applyBorder="1" applyAlignment="1">
      <alignment wrapText="1"/>
    </xf>
    <xf numFmtId="0" fontId="2" fillId="2" borderId="0" xfId="0" applyNumberFormat="1" applyFont="1" applyFill="1" applyBorder="1" applyAlignment="1">
      <alignment horizontal="center" vertical="center"/>
    </xf>
    <xf numFmtId="0" fontId="1" fillId="4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color rgb="FF991B1B"/>
      </font>
      <fill>
        <patternFill patternType="solid">
          <bgColor rgb="FFFEE2E2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66534"/>
      </font>
      <fill>
        <patternFill>
          <bgColor rgb="FFDCFCE7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Requirement Coverage by Module</a:t>
            </a:r>
          </a:p>
        </c:rich>
      </c:tx>
    </c:title>
    <c:plotArea>
      <c:layout/>
      <c:barChart>
        <c:barDir val="col"/>
        <c:grouping val="clustered"/>
        <c:ser>
          <c:idx val="0"/>
          <c:order val="0"/>
          <c:tx>
            <c:v>Requirements</c:v>
          </c:tx>
          <c:cat>
            <c:strRef>
              <c:f>'Coverage Summary'!$D$4:$D$10</c:f>
              <c:strCache>
                <c:ptCount val="7"/>
                <c:pt idx="0">
                  <c:v>Flight Search</c:v>
                </c:pt>
                <c:pt idx="1">
                  <c:v>Fare</c:v>
                </c:pt>
                <c:pt idx="2">
                  <c:v>Passenger</c:v>
                </c:pt>
                <c:pt idx="3">
                  <c:v>Payment</c:v>
                </c:pt>
                <c:pt idx="4">
                  <c:v>Booking / PNR</c:v>
                </c:pt>
                <c:pt idx="5">
                  <c:v>Cancellation</c:v>
                </c:pt>
                <c:pt idx="6">
                  <c:v>Refund</c:v>
                </c:pt>
              </c:strCache>
            </c:strRef>
          </c:cat>
          <c:val>
            <c:numRef>
              <c:f>'Coverage Summary'!$E$4:$E$10</c:f>
              <c:numCache>
                <c:formatCode>General</c:formatCode>
                <c:ptCount val="7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</c:ser>
        <c:ser>
          <c:idx val="1"/>
          <c:order val="1"/>
          <c:tx>
            <c:v>Covered/Partial</c:v>
          </c:tx>
          <c:cat>
            <c:strRef>
              <c:f>'Coverage Summary'!$D$4:$D$10</c:f>
              <c:strCache>
                <c:ptCount val="7"/>
                <c:pt idx="0">
                  <c:v>Flight Search</c:v>
                </c:pt>
                <c:pt idx="1">
                  <c:v>Fare</c:v>
                </c:pt>
                <c:pt idx="2">
                  <c:v>Passenger</c:v>
                </c:pt>
                <c:pt idx="3">
                  <c:v>Payment</c:v>
                </c:pt>
                <c:pt idx="4">
                  <c:v>Booking / PNR</c:v>
                </c:pt>
                <c:pt idx="5">
                  <c:v>Cancellation</c:v>
                </c:pt>
                <c:pt idx="6">
                  <c:v>Refund</c:v>
                </c:pt>
              </c:strCache>
            </c:strRef>
          </c:cat>
          <c:val>
            <c:numRef>
              <c:f>'Coverage Summary'!$F$4:$F$10</c:f>
              <c:numCache>
                <c:formatCode>General</c:formatCode>
                <c:ptCount val="7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</c:ser>
        <c:axId val="122103296"/>
        <c:axId val="122104832"/>
      </c:barChart>
      <c:catAx>
        <c:axId val="122103296"/>
        <c:scaling>
          <c:orientation val="minMax"/>
        </c:scaling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tickLblPos val="nextTo"/>
        <c:crossAx val="122104832"/>
        <c:crosses val="autoZero"/>
        <c:lblAlgn val="ctr"/>
        <c:lblOffset val="100"/>
      </c:catAx>
      <c:valAx>
        <c:axId val="122104832"/>
        <c:scaling>
          <c:orientation val="minMax"/>
        </c:scaling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tickLblPos val="nextTo"/>
        <c:crossAx val="122103296"/>
        <c:crosses val="autoZero"/>
        <c:crossBetween val="between"/>
      </c:valAx>
    </c:plotArea>
    <c:legend>
      <c:legendPos val="b"/>
    </c:legend>
    <c:plotVisOnly val="1"/>
  </c:chart>
  <c:spPr>
    <a:ln w="9525">
      <a:solidFill>
        <a:srgbClr val="D9D9D9"/>
      </a:solidFill>
      <a:prstDash val="solid"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RTMTable" displayName="RTMTable" ref="A1:I28" totalsRowShown="0">
  <tableColumns count="9">
    <tableColumn id="1" name="Requirement ID"/>
    <tableColumn id="2" name="Module"/>
    <tableColumn id="3" name="Requirement Summary"/>
    <tableColumn id="4" name="Scenario ID(s)"/>
    <tableColumn id="5" name="Test Case ID(s)"/>
    <tableColumn id="6" name="Coverage Status"/>
    <tableColumn id="7" name="Execution Status"/>
    <tableColumn id="8" name="Defect ID(s)"/>
    <tableColumn id="9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topLeftCell="D1" workbookViewId="0">
      <selection activeCell="D16" sqref="D16"/>
    </sheetView>
  </sheetViews>
  <sheetFormatPr defaultRowHeight="13.8"/>
  <cols>
    <col min="1" max="1" width="16" customWidth="1"/>
    <col min="2" max="2" width="18" customWidth="1"/>
    <col min="3" max="3" width="44" customWidth="1"/>
    <col min="4" max="4" width="30" customWidth="1"/>
    <col min="5" max="5" width="32" customWidth="1"/>
    <col min="6" max="6" width="16" customWidth="1"/>
    <col min="7" max="8" width="18" customWidth="1"/>
    <col min="9" max="9" width="40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133</v>
      </c>
      <c r="H2" s="3"/>
      <c r="I2" s="3" t="s">
        <v>134</v>
      </c>
    </row>
    <row r="3" spans="1:9" ht="41.4">
      <c r="A3" s="3" t="s">
        <v>15</v>
      </c>
      <c r="B3" s="3" t="s">
        <v>10</v>
      </c>
      <c r="C3" s="3" t="s">
        <v>16</v>
      </c>
      <c r="D3" s="3" t="s">
        <v>17</v>
      </c>
      <c r="E3" s="3" t="s">
        <v>18</v>
      </c>
      <c r="F3" s="3" t="s">
        <v>14</v>
      </c>
      <c r="G3" s="3" t="s">
        <v>135</v>
      </c>
      <c r="H3" s="3" t="s">
        <v>136</v>
      </c>
      <c r="I3" s="3" t="s">
        <v>137</v>
      </c>
    </row>
    <row r="4" spans="1:9">
      <c r="A4" s="3" t="s">
        <v>19</v>
      </c>
      <c r="B4" s="3" t="s">
        <v>10</v>
      </c>
      <c r="C4" s="3" t="s">
        <v>20</v>
      </c>
      <c r="D4" s="3" t="s">
        <v>21</v>
      </c>
      <c r="E4" s="3" t="s">
        <v>22</v>
      </c>
      <c r="F4" s="3" t="s">
        <v>14</v>
      </c>
      <c r="G4" s="3" t="s">
        <v>133</v>
      </c>
      <c r="H4" s="3"/>
      <c r="I4" s="3" t="s">
        <v>138</v>
      </c>
    </row>
    <row r="5" spans="1:9">
      <c r="A5" s="3" t="s">
        <v>23</v>
      </c>
      <c r="B5" s="3" t="s">
        <v>10</v>
      </c>
      <c r="C5" s="3" t="s">
        <v>24</v>
      </c>
      <c r="D5" s="3" t="s">
        <v>25</v>
      </c>
      <c r="E5" s="3" t="s">
        <v>26</v>
      </c>
      <c r="F5" s="3" t="s">
        <v>14</v>
      </c>
      <c r="G5" s="3" t="s">
        <v>133</v>
      </c>
      <c r="H5" s="3"/>
      <c r="I5" s="3" t="s">
        <v>139</v>
      </c>
    </row>
    <row r="6" spans="1:9" ht="27.6">
      <c r="A6" s="3" t="s">
        <v>27</v>
      </c>
      <c r="B6" s="3" t="s">
        <v>10</v>
      </c>
      <c r="C6" s="3" t="s">
        <v>28</v>
      </c>
      <c r="D6" s="3" t="s">
        <v>29</v>
      </c>
      <c r="E6" s="3" t="s">
        <v>30</v>
      </c>
      <c r="F6" s="3" t="s">
        <v>14</v>
      </c>
      <c r="G6" s="3" t="s">
        <v>133</v>
      </c>
      <c r="H6" s="3"/>
      <c r="I6" s="3" t="s">
        <v>140</v>
      </c>
    </row>
    <row r="7" spans="1:9">
      <c r="A7" s="3" t="s">
        <v>31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14</v>
      </c>
      <c r="G7" s="3" t="s">
        <v>133</v>
      </c>
      <c r="H7" s="3"/>
      <c r="I7" s="3" t="s">
        <v>141</v>
      </c>
    </row>
    <row r="8" spans="1:9">
      <c r="A8" s="3" t="s">
        <v>36</v>
      </c>
      <c r="B8" s="3" t="s">
        <v>32</v>
      </c>
      <c r="C8" s="3" t="s">
        <v>37</v>
      </c>
      <c r="D8" s="3" t="s">
        <v>38</v>
      </c>
      <c r="E8" s="3" t="s">
        <v>39</v>
      </c>
      <c r="F8" s="3" t="s">
        <v>14</v>
      </c>
      <c r="G8" s="3" t="s">
        <v>133</v>
      </c>
      <c r="H8" s="3"/>
      <c r="I8" s="3" t="s">
        <v>142</v>
      </c>
    </row>
    <row r="9" spans="1:9" ht="41.4">
      <c r="A9" s="3" t="s">
        <v>40</v>
      </c>
      <c r="B9" s="3" t="s">
        <v>32</v>
      </c>
      <c r="C9" s="3" t="s">
        <v>41</v>
      </c>
      <c r="D9" s="3" t="s">
        <v>42</v>
      </c>
      <c r="E9" s="3" t="s">
        <v>43</v>
      </c>
      <c r="F9" s="3" t="s">
        <v>14</v>
      </c>
      <c r="G9" s="3" t="s">
        <v>133</v>
      </c>
      <c r="H9" s="3"/>
      <c r="I9" s="3" t="s">
        <v>143</v>
      </c>
    </row>
    <row r="10" spans="1:9" ht="27.6">
      <c r="A10" s="3" t="s">
        <v>44</v>
      </c>
      <c r="B10" s="3" t="s">
        <v>32</v>
      </c>
      <c r="C10" s="3" t="s">
        <v>45</v>
      </c>
      <c r="D10" s="3" t="s">
        <v>46</v>
      </c>
      <c r="E10" s="3" t="s">
        <v>47</v>
      </c>
      <c r="F10" s="3" t="s">
        <v>14</v>
      </c>
      <c r="G10" s="3" t="s">
        <v>133</v>
      </c>
      <c r="H10" s="3"/>
      <c r="I10" s="3" t="s">
        <v>144</v>
      </c>
    </row>
    <row r="11" spans="1:9">
      <c r="A11" s="3" t="s">
        <v>48</v>
      </c>
      <c r="B11" s="3" t="s">
        <v>49</v>
      </c>
      <c r="C11" s="3" t="s">
        <v>50</v>
      </c>
      <c r="D11" s="3" t="s">
        <v>51</v>
      </c>
      <c r="E11" s="3" t="s">
        <v>52</v>
      </c>
      <c r="F11" s="3" t="s">
        <v>14</v>
      </c>
      <c r="G11" s="3" t="s">
        <v>133</v>
      </c>
      <c r="H11" s="3"/>
      <c r="I11" s="3" t="s">
        <v>145</v>
      </c>
    </row>
    <row r="12" spans="1:9" ht="41.4">
      <c r="A12" s="3" t="s">
        <v>53</v>
      </c>
      <c r="B12" s="3" t="s">
        <v>49</v>
      </c>
      <c r="C12" s="3" t="s">
        <v>54</v>
      </c>
      <c r="D12" s="3" t="s">
        <v>55</v>
      </c>
      <c r="E12" s="3" t="s">
        <v>56</v>
      </c>
      <c r="F12" s="3" t="s">
        <v>57</v>
      </c>
      <c r="G12" s="3" t="s">
        <v>135</v>
      </c>
      <c r="H12" s="3" t="s">
        <v>146</v>
      </c>
      <c r="I12" s="3" t="s">
        <v>147</v>
      </c>
    </row>
    <row r="13" spans="1:9" ht="27.6">
      <c r="A13" s="3" t="s">
        <v>58</v>
      </c>
      <c r="B13" s="3" t="s">
        <v>49</v>
      </c>
      <c r="C13" s="3" t="s">
        <v>59</v>
      </c>
      <c r="D13" s="3" t="s">
        <v>60</v>
      </c>
      <c r="E13" s="3" t="s">
        <v>61</v>
      </c>
      <c r="F13" s="3" t="s">
        <v>14</v>
      </c>
      <c r="G13" s="3" t="s">
        <v>135</v>
      </c>
      <c r="H13" s="3" t="s">
        <v>148</v>
      </c>
      <c r="I13" s="3" t="s">
        <v>149</v>
      </c>
    </row>
    <row r="14" spans="1:9" ht="27.6">
      <c r="A14" s="3" t="s">
        <v>62</v>
      </c>
      <c r="B14" s="3" t="s">
        <v>49</v>
      </c>
      <c r="C14" s="3" t="s">
        <v>63</v>
      </c>
      <c r="D14" s="3" t="s">
        <v>64</v>
      </c>
      <c r="E14" s="3" t="s">
        <v>65</v>
      </c>
      <c r="F14" s="3" t="s">
        <v>14</v>
      </c>
      <c r="G14" s="3" t="s">
        <v>133</v>
      </c>
      <c r="H14" s="3"/>
      <c r="I14" s="3" t="s">
        <v>150</v>
      </c>
    </row>
    <row r="15" spans="1:9" ht="55.2">
      <c r="A15" s="3" t="s">
        <v>66</v>
      </c>
      <c r="B15" s="3" t="s">
        <v>67</v>
      </c>
      <c r="C15" s="3" t="s">
        <v>68</v>
      </c>
      <c r="D15" s="3" t="s">
        <v>69</v>
      </c>
      <c r="E15" s="3" t="s">
        <v>70</v>
      </c>
      <c r="F15" s="3" t="s">
        <v>14</v>
      </c>
      <c r="G15" s="3" t="s">
        <v>133</v>
      </c>
      <c r="H15" s="3" t="s">
        <v>151</v>
      </c>
      <c r="I15" s="3" t="s">
        <v>152</v>
      </c>
    </row>
    <row r="16" spans="1:9" ht="27.6">
      <c r="A16" s="3" t="s">
        <v>71</v>
      </c>
      <c r="B16" s="3" t="s">
        <v>67</v>
      </c>
      <c r="C16" s="3" t="s">
        <v>72</v>
      </c>
      <c r="D16" s="3" t="s">
        <v>73</v>
      </c>
      <c r="E16" s="3" t="s">
        <v>74</v>
      </c>
      <c r="F16" s="3" t="s">
        <v>14</v>
      </c>
      <c r="G16" s="3" t="s">
        <v>133</v>
      </c>
      <c r="H16" s="3"/>
      <c r="I16" s="3" t="s">
        <v>153</v>
      </c>
    </row>
    <row r="17" spans="1:9" ht="41.4">
      <c r="A17" s="3" t="s">
        <v>75</v>
      </c>
      <c r="B17" s="3" t="s">
        <v>67</v>
      </c>
      <c r="C17" s="3" t="s">
        <v>76</v>
      </c>
      <c r="D17" s="3" t="s">
        <v>77</v>
      </c>
      <c r="E17" s="3" t="s">
        <v>78</v>
      </c>
      <c r="F17" s="3" t="s">
        <v>14</v>
      </c>
      <c r="G17" s="3" t="s">
        <v>133</v>
      </c>
      <c r="H17" s="3"/>
      <c r="I17" s="3" t="s">
        <v>154</v>
      </c>
    </row>
    <row r="18" spans="1:9" ht="55.2">
      <c r="A18" s="3" t="s">
        <v>79</v>
      </c>
      <c r="B18" s="3" t="s">
        <v>67</v>
      </c>
      <c r="C18" s="3" t="s">
        <v>80</v>
      </c>
      <c r="D18" s="3" t="s">
        <v>81</v>
      </c>
      <c r="E18" s="3" t="s">
        <v>82</v>
      </c>
      <c r="F18" s="3" t="s">
        <v>14</v>
      </c>
      <c r="G18" s="3" t="s">
        <v>155</v>
      </c>
      <c r="H18" s="3"/>
      <c r="I18" s="3" t="s">
        <v>156</v>
      </c>
    </row>
    <row r="19" spans="1:9" ht="55.2">
      <c r="A19" s="3" t="s">
        <v>83</v>
      </c>
      <c r="B19" s="3" t="s">
        <v>67</v>
      </c>
      <c r="C19" s="3" t="s">
        <v>84</v>
      </c>
      <c r="D19" s="3" t="s">
        <v>85</v>
      </c>
      <c r="E19" s="3" t="s">
        <v>86</v>
      </c>
      <c r="F19" s="3" t="s">
        <v>14</v>
      </c>
      <c r="G19" s="3" t="s">
        <v>133</v>
      </c>
      <c r="H19" s="3"/>
      <c r="I19" s="3" t="s">
        <v>157</v>
      </c>
    </row>
    <row r="20" spans="1:9" ht="27.6">
      <c r="A20" s="3" t="s">
        <v>87</v>
      </c>
      <c r="B20" s="3" t="s">
        <v>88</v>
      </c>
      <c r="C20" s="3" t="s">
        <v>89</v>
      </c>
      <c r="D20" s="3" t="s">
        <v>90</v>
      </c>
      <c r="E20" s="3" t="s">
        <v>91</v>
      </c>
      <c r="F20" s="3" t="s">
        <v>14</v>
      </c>
      <c r="G20" s="3" t="s">
        <v>133</v>
      </c>
      <c r="H20" s="3"/>
      <c r="I20" s="3" t="s">
        <v>158</v>
      </c>
    </row>
    <row r="21" spans="1:9" ht="55.2">
      <c r="A21" s="3" t="s">
        <v>92</v>
      </c>
      <c r="B21" s="3" t="s">
        <v>88</v>
      </c>
      <c r="C21" s="3" t="s">
        <v>93</v>
      </c>
      <c r="D21" s="3" t="s">
        <v>94</v>
      </c>
      <c r="E21" s="3" t="s">
        <v>95</v>
      </c>
      <c r="F21" s="3" t="s">
        <v>14</v>
      </c>
      <c r="G21" s="3" t="s">
        <v>159</v>
      </c>
      <c r="H21" s="3"/>
      <c r="I21" s="3" t="s">
        <v>160</v>
      </c>
    </row>
    <row r="22" spans="1:9" ht="55.2">
      <c r="A22" s="3" t="s">
        <v>96</v>
      </c>
      <c r="B22" s="3" t="s">
        <v>88</v>
      </c>
      <c r="C22" s="3" t="s">
        <v>97</v>
      </c>
      <c r="D22" s="3" t="s">
        <v>98</v>
      </c>
      <c r="E22" s="3" t="s">
        <v>99</v>
      </c>
      <c r="F22" s="3" t="s">
        <v>57</v>
      </c>
      <c r="G22" s="3" t="s">
        <v>133</v>
      </c>
      <c r="H22" s="3"/>
      <c r="I22" s="3" t="s">
        <v>161</v>
      </c>
    </row>
    <row r="23" spans="1:9" ht="41.4">
      <c r="A23" s="3" t="s">
        <v>100</v>
      </c>
      <c r="B23" s="3" t="s">
        <v>88</v>
      </c>
      <c r="C23" s="3" t="s">
        <v>101</v>
      </c>
      <c r="D23" s="3" t="s">
        <v>102</v>
      </c>
      <c r="E23" s="3" t="s">
        <v>103</v>
      </c>
      <c r="F23" s="3" t="s">
        <v>14</v>
      </c>
      <c r="G23" s="3" t="s">
        <v>133</v>
      </c>
      <c r="H23" s="3"/>
      <c r="I23" s="3" t="s">
        <v>162</v>
      </c>
    </row>
    <row r="24" spans="1:9" ht="55.2">
      <c r="A24" s="3" t="s">
        <v>104</v>
      </c>
      <c r="B24" s="3" t="s">
        <v>88</v>
      </c>
      <c r="C24" s="3" t="s">
        <v>105</v>
      </c>
      <c r="D24" s="3" t="s">
        <v>106</v>
      </c>
      <c r="E24" s="3" t="s">
        <v>107</v>
      </c>
      <c r="F24" s="3" t="s">
        <v>14</v>
      </c>
      <c r="G24" s="3" t="s">
        <v>159</v>
      </c>
      <c r="H24" s="3"/>
      <c r="I24" s="3" t="s">
        <v>163</v>
      </c>
    </row>
    <row r="25" spans="1:9" ht="55.2">
      <c r="A25" s="3" t="s">
        <v>108</v>
      </c>
      <c r="B25" s="3" t="s">
        <v>109</v>
      </c>
      <c r="C25" s="3" t="s">
        <v>110</v>
      </c>
      <c r="D25" s="3" t="s">
        <v>111</v>
      </c>
      <c r="E25" s="3" t="s">
        <v>112</v>
      </c>
      <c r="F25" s="3" t="s">
        <v>14</v>
      </c>
      <c r="G25" s="3" t="s">
        <v>135</v>
      </c>
      <c r="H25" s="3" t="s">
        <v>164</v>
      </c>
      <c r="I25" s="3" t="s">
        <v>165</v>
      </c>
    </row>
    <row r="26" spans="1:9" ht="41.4">
      <c r="A26" s="3" t="s">
        <v>113</v>
      </c>
      <c r="B26" s="3" t="s">
        <v>109</v>
      </c>
      <c r="C26" s="3" t="s">
        <v>114</v>
      </c>
      <c r="D26" s="3" t="s">
        <v>115</v>
      </c>
      <c r="E26" s="3" t="s">
        <v>116</v>
      </c>
      <c r="F26" s="3" t="s">
        <v>14</v>
      </c>
      <c r="G26" s="3" t="s">
        <v>155</v>
      </c>
      <c r="H26" s="3" t="s">
        <v>164</v>
      </c>
      <c r="I26" s="3" t="s">
        <v>166</v>
      </c>
    </row>
    <row r="27" spans="1:9" ht="41.4">
      <c r="A27" s="3" t="s">
        <v>117</v>
      </c>
      <c r="B27" s="3" t="s">
        <v>118</v>
      </c>
      <c r="C27" s="3" t="s">
        <v>119</v>
      </c>
      <c r="D27" s="3" t="s">
        <v>120</v>
      </c>
      <c r="E27" s="3" t="s">
        <v>121</v>
      </c>
      <c r="F27" s="3" t="s">
        <v>14</v>
      </c>
      <c r="G27" s="3" t="s">
        <v>155</v>
      </c>
      <c r="H27" s="3"/>
      <c r="I27" s="3" t="s">
        <v>167</v>
      </c>
    </row>
    <row r="28" spans="1:9" ht="27.6">
      <c r="A28" s="3" t="s">
        <v>122</v>
      </c>
      <c r="B28" s="3" t="s">
        <v>118</v>
      </c>
      <c r="C28" s="3" t="s">
        <v>123</v>
      </c>
      <c r="D28" s="3" t="s">
        <v>124</v>
      </c>
      <c r="E28" s="3"/>
      <c r="F28" s="3" t="s">
        <v>125</v>
      </c>
      <c r="G28" s="3" t="s">
        <v>159</v>
      </c>
      <c r="H28" s="3"/>
      <c r="I28" s="3" t="s">
        <v>168</v>
      </c>
    </row>
  </sheetData>
  <conditionalFormatting sqref="F2:F28">
    <cfRule type="expression" dxfId="7" priority="1">
      <formula>F2="Covered"</formula>
    </cfRule>
    <cfRule type="expression" dxfId="6" priority="2">
      <formula>F2="Partial"</formula>
    </cfRule>
    <cfRule type="expression" dxfId="5" priority="3">
      <formula>F2="Gap"</formula>
    </cfRule>
  </conditionalFormatting>
  <conditionalFormatting sqref="G2:G28">
    <cfRule type="expression" dxfId="4" priority="4">
      <formula>G2="Passed"</formula>
    </cfRule>
    <cfRule type="expression" dxfId="3" priority="5">
      <formula>G2="Failed"</formula>
    </cfRule>
    <cfRule type="expression" dxfId="2" priority="6">
      <formula>G2="Blocked"</formula>
    </cfRule>
    <cfRule type="expression" dxfId="1" priority="7">
      <formula>G2="Not Executed"</formula>
    </cfRule>
  </conditionalFormatting>
  <conditionalFormatting sqref="H2:H28">
    <cfRule type="expression" dxfId="0" priority="8">
      <formula>H2&lt;&gt;""</formula>
    </cfRule>
  </conditionalFormatting>
  <dataValidations count="2">
    <dataValidation type="list" sqref="F2:F28">
      <formula1>"Covered,Partial,Gap"</formula1>
    </dataValidation>
    <dataValidation type="list" sqref="G2:G28">
      <formula1>"Not Executed,Passed,Failed,Blocked,Not Applicable"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I10"/>
  <sheetViews>
    <sheetView workbookViewId="0">
      <selection activeCell="Q6" sqref="Q6"/>
    </sheetView>
  </sheetViews>
  <sheetFormatPr defaultRowHeight="13.8"/>
  <cols>
    <col min="1" max="1" width="30" customWidth="1"/>
    <col min="2" max="2" width="16" customWidth="1"/>
    <col min="4" max="4" width="22" customWidth="1"/>
    <col min="5" max="6" width="18" customWidth="1"/>
    <col min="8" max="8" width="24" customWidth="1"/>
    <col min="9" max="9" width="14" customWidth="1"/>
  </cols>
  <sheetData>
    <row r="1" spans="1:9" ht="17.399999999999999">
      <c r="A1" s="12" t="s">
        <v>126</v>
      </c>
      <c r="B1" s="12"/>
      <c r="C1" s="12"/>
      <c r="D1" s="12"/>
      <c r="E1" s="12"/>
      <c r="F1" s="12"/>
      <c r="H1" s="13" t="s">
        <v>169</v>
      </c>
      <c r="I1" s="13"/>
    </row>
    <row r="3" spans="1:9">
      <c r="A3" s="4" t="s">
        <v>127</v>
      </c>
      <c r="B3" s="4" t="s">
        <v>128</v>
      </c>
      <c r="C3" s="1"/>
      <c r="D3" s="4" t="s">
        <v>1</v>
      </c>
      <c r="E3" s="4" t="s">
        <v>129</v>
      </c>
      <c r="F3" s="4" t="s">
        <v>130</v>
      </c>
      <c r="H3" s="6" t="s">
        <v>6</v>
      </c>
      <c r="I3" s="7" t="s">
        <v>170</v>
      </c>
    </row>
    <row r="4" spans="1:9">
      <c r="A4" s="1" t="s">
        <v>131</v>
      </c>
      <c r="B4" s="1">
        <f>COUNTA(RTM!A2:A28)</f>
        <v>27</v>
      </c>
      <c r="C4" s="1"/>
      <c r="D4" s="1" t="s">
        <v>10</v>
      </c>
      <c r="E4" s="1">
        <f>COUNTIF(RTM!B2:B28,D4)</f>
        <v>5</v>
      </c>
      <c r="F4" s="1">
        <f>COUNTIFS(RTM!B2:B28,D4,RTM!F2:F28,"&lt;&gt;Gap")</f>
        <v>5</v>
      </c>
      <c r="H4" s="8" t="s">
        <v>133</v>
      </c>
      <c r="I4" s="9">
        <f>COUNTIF(RTM!$G$2:$G$28,H4)</f>
        <v>17</v>
      </c>
    </row>
    <row r="5" spans="1:9">
      <c r="A5" s="1" t="s">
        <v>14</v>
      </c>
      <c r="B5" s="1">
        <f>COUNTIF(RTM!F2:F28,"Covered")</f>
        <v>24</v>
      </c>
      <c r="C5" s="1"/>
      <c r="D5" s="1" t="s">
        <v>32</v>
      </c>
      <c r="E5" s="1">
        <f>COUNTIF(RTM!B2:B28,D5)</f>
        <v>4</v>
      </c>
      <c r="F5" s="1">
        <f>COUNTIFS(RTM!B2:B28,D5,RTM!F2:F28,"&lt;&gt;Gap")</f>
        <v>4</v>
      </c>
      <c r="H5" s="8" t="s">
        <v>135</v>
      </c>
      <c r="I5" s="9">
        <f>COUNTIF(RTM!$G$2:$G$28,H5)</f>
        <v>4</v>
      </c>
    </row>
    <row r="6" spans="1:9">
      <c r="A6" s="1" t="s">
        <v>57</v>
      </c>
      <c r="B6" s="1">
        <f>COUNTIF(RTM!F2:F28,"Partial")</f>
        <v>2</v>
      </c>
      <c r="C6" s="1"/>
      <c r="D6" s="1" t="s">
        <v>49</v>
      </c>
      <c r="E6" s="1">
        <f>COUNTIF(RTM!B2:B28,D6)</f>
        <v>4</v>
      </c>
      <c r="F6" s="1">
        <f>COUNTIFS(RTM!B2:B28,D6,RTM!F2:F28,"&lt;&gt;Gap")</f>
        <v>4</v>
      </c>
      <c r="H6" s="8" t="s">
        <v>155</v>
      </c>
      <c r="I6" s="9">
        <f>COUNTIF(RTM!$G$2:$G$28,H6)</f>
        <v>3</v>
      </c>
    </row>
    <row r="7" spans="1:9">
      <c r="A7" s="1" t="s">
        <v>125</v>
      </c>
      <c r="B7" s="1">
        <f>COUNTIF(RTM!F2:F28,"Gap")</f>
        <v>1</v>
      </c>
      <c r="C7" s="1"/>
      <c r="D7" s="1" t="s">
        <v>67</v>
      </c>
      <c r="E7" s="1">
        <f>COUNTIF(RTM!B2:B28,D7)</f>
        <v>5</v>
      </c>
      <c r="F7" s="1">
        <f>COUNTIFS(RTM!B2:B28,D7,RTM!F2:F28,"&lt;&gt;Gap")</f>
        <v>5</v>
      </c>
      <c r="H7" s="8" t="s">
        <v>159</v>
      </c>
      <c r="I7" s="9">
        <f>COUNTIF(RTM!$G$2:$G$28,H7)</f>
        <v>3</v>
      </c>
    </row>
    <row r="8" spans="1:9">
      <c r="A8" s="1" t="s">
        <v>132</v>
      </c>
      <c r="B8" s="5">
        <f>(B5+B6)/B4</f>
        <v>0.96296296296296291</v>
      </c>
      <c r="C8" s="1"/>
      <c r="D8" s="1" t="s">
        <v>88</v>
      </c>
      <c r="E8" s="1">
        <f>COUNTIF(RTM!B2:B28,D8)</f>
        <v>5</v>
      </c>
      <c r="F8" s="1">
        <f>COUNTIFS(RTM!B2:B28,D8,RTM!F2:F28,"&lt;&gt;Gap")</f>
        <v>5</v>
      </c>
      <c r="H8" s="8"/>
      <c r="I8" s="9"/>
    </row>
    <row r="9" spans="1:9">
      <c r="A9" s="1"/>
      <c r="B9" s="1"/>
      <c r="C9" s="1"/>
      <c r="D9" s="1" t="s">
        <v>109</v>
      </c>
      <c r="E9" s="1">
        <f>COUNTIF(RTM!B2:B28,D9)</f>
        <v>2</v>
      </c>
      <c r="F9" s="1">
        <f>COUNTIFS(RTM!B2:B28,D9,RTM!F2:F28,"&lt;&gt;Gap")</f>
        <v>2</v>
      </c>
      <c r="H9" s="10" t="s">
        <v>171</v>
      </c>
      <c r="I9" s="11">
        <f>(I4+I5+I6)/COUNTIF(RTM!$A$2:$A$28,"&lt;&gt;")</f>
        <v>0.88888888888888884</v>
      </c>
    </row>
    <row r="10" spans="1:9">
      <c r="A10" s="1"/>
      <c r="B10" s="1"/>
      <c r="C10" s="1"/>
      <c r="D10" s="1" t="s">
        <v>118</v>
      </c>
      <c r="E10" s="1">
        <f>COUNTIF(RTM!B2:B28,D10)</f>
        <v>2</v>
      </c>
      <c r="F10" s="1">
        <f>COUNTIFS(RTM!B2:B28,D10,RTM!F2:F28,"&lt;&gt;Gap")</f>
        <v>1</v>
      </c>
    </row>
  </sheetData>
  <mergeCells count="2">
    <mergeCell ref="A1:F1"/>
    <mergeCell ref="H1:I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RTM</vt:lpstr>
      <vt:lpstr>Coverage 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2026-09-11T09:29:44Z</dcterms:modified>
</cp:coreProperties>
</file>